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d\OneDrive\blackned NA\Mine and IED\GIHD\"/>
    </mc:Choice>
  </mc:AlternateContent>
  <xr:revisionPtr revIDLastSave="0" documentId="13_ncr:1_{CF32A08D-FBBB-4205-A1C1-52B00085A9CC}" xr6:coauthVersionLast="47" xr6:coauthVersionMax="47" xr10:uidLastSave="{00000000-0000-0000-0000-000000000000}"/>
  <bookViews>
    <workbookView xWindow="-98" yWindow="-98" windowWidth="20715" windowHeight="13155" xr2:uid="{98D08687-59CE-41DE-BF1B-ABEAA7B40CCC}"/>
  </bookViews>
  <sheets>
    <sheet name="Ammunition" sheetId="1" r:id="rId1"/>
    <sheet name="Nature" sheetId="4" r:id="rId2"/>
    <sheet name="Manufacturer" sheetId="2" r:id="rId3"/>
    <sheet name="Sheet3" sheetId="3" r:id="rId4"/>
    <sheet name="vv" sheetId="5" r:id="rId5"/>
    <sheet name="ESH" sheetId="7" r:id="rId6"/>
    <sheet name="Condition Code" sheetId="8" r:id="rId7"/>
    <sheet name="HCC" sheetId="6" r:id="rId8"/>
    <sheet name="HCC2" sheetId="10" r:id="rId9"/>
    <sheet name="Manu Codes" sheetId="9" r:id="rId10"/>
  </sheets>
  <definedNames>
    <definedName name="_xlnm._FilterDatabase" localSheetId="2" hidden="1">Manufacturer!$A$1:$H$6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" i="6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6" i="2"/>
  <c r="A5" i="2"/>
  <c r="A4" i="2"/>
  <c r="A3" i="2"/>
</calcChain>
</file>

<file path=xl/sharedStrings.xml><?xml version="1.0" encoding="utf-8"?>
<sst xmlns="http://schemas.openxmlformats.org/spreadsheetml/2006/main" count="1300" uniqueCount="581">
  <si>
    <t>Nature</t>
  </si>
  <si>
    <t>CCI (Cascade Cartridge Inc.)</t>
  </si>
  <si>
    <t>Aguila</t>
  </si>
  <si>
    <t>Eley</t>
  </si>
  <si>
    <t>Lapua</t>
  </si>
  <si>
    <t>RWS (Rottweil)</t>
  </si>
  <si>
    <t>SK (Schönebeck)</t>
  </si>
  <si>
    <t>Index</t>
  </si>
  <si>
    <t>Name</t>
  </si>
  <si>
    <t>Address 1</t>
  </si>
  <si>
    <t>Address 2</t>
  </si>
  <si>
    <t>City</t>
  </si>
  <si>
    <t>State/Province</t>
  </si>
  <si>
    <t>Country</t>
  </si>
  <si>
    <t>2299 Snake River Ave</t>
  </si>
  <si>
    <t xml:space="preserve">ID </t>
  </si>
  <si>
    <t>Postal Code</t>
  </si>
  <si>
    <t>USA</t>
  </si>
  <si>
    <t>3625 W Old Potash Hwy</t>
  </si>
  <si>
    <t>Grand Island</t>
  </si>
  <si>
    <t>Madison</t>
  </si>
  <si>
    <t>600 Powder Mill Rd</t>
  </si>
  <si>
    <t>Carretera a Navajas km 3.8</t>
  </si>
  <si>
    <t>Marlow Rd</t>
  </si>
  <si>
    <t>Vihtavuoren Tehtaat Oy</t>
  </si>
  <si>
    <t>Robert Bosch Straße 5</t>
  </si>
  <si>
    <t>Geschwister-Scholl-Straße 23</t>
  </si>
  <si>
    <t>East Alton</t>
  </si>
  <si>
    <t>Rancho El Soyatal</t>
  </si>
  <si>
    <t>Cd. Cuauhtémoc</t>
  </si>
  <si>
    <t>Chih</t>
  </si>
  <si>
    <t>Mexico</t>
  </si>
  <si>
    <t xml:space="preserve">Birmingham </t>
  </si>
  <si>
    <t>B30 3JN</t>
  </si>
  <si>
    <t>United Kingdom</t>
  </si>
  <si>
    <t>Vihtavuorentie 109</t>
  </si>
  <si>
    <t>Laukaa</t>
  </si>
  <si>
    <t>Finland</t>
  </si>
  <si>
    <t>Germany</t>
  </si>
  <si>
    <t>Schönebeck (Elbe)</t>
  </si>
  <si>
    <t xml:space="preserve">Lewiston </t>
  </si>
  <si>
    <t>Balingen</t>
  </si>
  <si>
    <t>Federal Premium Ammunition</t>
  </si>
  <si>
    <t>900 Ehlen Dr.</t>
  </si>
  <si>
    <t>Hornady Manufacturing Company</t>
  </si>
  <si>
    <t>Winchester Ammunition</t>
  </si>
  <si>
    <t>Remington Arms Company, LLC</t>
  </si>
  <si>
    <t>870 Remington Dr.</t>
  </si>
  <si>
    <t>Sellier &amp; Bellot</t>
  </si>
  <si>
    <t>Vlašimská 162</t>
  </si>
  <si>
    <t>Vihtavuori</t>
  </si>
  <si>
    <t>PMC Ammunition</t>
  </si>
  <si>
    <t>940 Sheridan St.</t>
  </si>
  <si>
    <t>Prvi Partizan</t>
  </si>
  <si>
    <t>Uzicka 67</t>
  </si>
  <si>
    <t>Wolf Performance Ammunition</t>
  </si>
  <si>
    <t>17858 SW Upper Boones Ferry Rd</t>
  </si>
  <si>
    <t>Aguila Ammunition</t>
  </si>
  <si>
    <t>Industrias Tecnos S.A.</t>
  </si>
  <si>
    <t>GGG (Girta Ginkluotes Gamykla)</t>
  </si>
  <si>
    <t>Vištyčio g. 12</t>
  </si>
  <si>
    <t>IMI (Israel Military Industries)</t>
  </si>
  <si>
    <t>P.O.Box 69</t>
  </si>
  <si>
    <t>MEN (Metallwerk Elisenhutte GmbH)</t>
  </si>
  <si>
    <t>Schiessplatzstraße 5</t>
  </si>
  <si>
    <t>Norma Precision</t>
  </si>
  <si>
    <t>Box 149</t>
  </si>
  <si>
    <t>RUAG Ammotec</t>
  </si>
  <si>
    <t>Ruag-Platz 1</t>
  </si>
  <si>
    <t>Sako</t>
  </si>
  <si>
    <t>Valmetinkatu 2</t>
  </si>
  <si>
    <t>TulAmmo</t>
  </si>
  <si>
    <t>2150 South 950 East</t>
  </si>
  <si>
    <t>ZQI Ammunition</t>
  </si>
  <si>
    <t>2191A Defense Hwy Suite 403</t>
  </si>
  <si>
    <t>Anoka</t>
  </si>
  <si>
    <t>Minnesota</t>
  </si>
  <si>
    <t>United States</t>
  </si>
  <si>
    <t>Nebraska</t>
  </si>
  <si>
    <t>Illinois</t>
  </si>
  <si>
    <t>North Carolina</t>
  </si>
  <si>
    <t>Vlašim</t>
  </si>
  <si>
    <t>N/A</t>
  </si>
  <si>
    <t>258 01</t>
  </si>
  <si>
    <t>Czech Republic</t>
  </si>
  <si>
    <t>Euren</t>
  </si>
  <si>
    <t>Las Vegas</t>
  </si>
  <si>
    <t>Nevada</t>
  </si>
  <si>
    <t>Uzice</t>
  </si>
  <si>
    <t>Serbia</t>
  </si>
  <si>
    <t>Durham</t>
  </si>
  <si>
    <t>Oregon</t>
  </si>
  <si>
    <t>Cuernavaca</t>
  </si>
  <si>
    <t>Morelos</t>
  </si>
  <si>
    <t>Naujoji Akmenė</t>
  </si>
  <si>
    <t>LT-85118</t>
  </si>
  <si>
    <t>Lithuania</t>
  </si>
  <si>
    <t>Ramat HaSharon</t>
  </si>
  <si>
    <t>Israel</t>
  </si>
  <si>
    <t>Nassau</t>
  </si>
  <si>
    <t>Åmotfors</t>
  </si>
  <si>
    <t>SE-670 64</t>
  </si>
  <si>
    <t>Sweden</t>
  </si>
  <si>
    <t>Thun</t>
  </si>
  <si>
    <t>Switzerland</t>
  </si>
  <si>
    <t>Riihimäki</t>
  </si>
  <si>
    <t>Provo</t>
  </si>
  <si>
    <t>Utah</t>
  </si>
  <si>
    <t>Crofton</t>
  </si>
  <si>
    <t>Maryland</t>
  </si>
  <si>
    <t>Barnes Bullets Inc.</t>
  </si>
  <si>
    <t>38 N Frontage Rd</t>
  </si>
  <si>
    <t>Mona</t>
  </si>
  <si>
    <t>UT</t>
  </si>
  <si>
    <t>Browning Ammunition</t>
  </si>
  <si>
    <t>9200 Cody Street</t>
  </si>
  <si>
    <t>St Louis</t>
  </si>
  <si>
    <t>MO</t>
  </si>
  <si>
    <t>CBC (Companhia Brasileira de Cartuchos)</t>
  </si>
  <si>
    <t>Rod. BR 101, KM 266,2, s/nº</t>
  </si>
  <si>
    <t>Ribeirão das Neves</t>
  </si>
  <si>
    <t>Minas Gerais</t>
  </si>
  <si>
    <t>33880-970</t>
  </si>
  <si>
    <t>Brazil</t>
  </si>
  <si>
    <t>CAVIM (Compañía Anónima Venezolana de Industrias Militares)</t>
  </si>
  <si>
    <t>Av. Fuerzas Armadas, Fortaleza de la Inmaculada</t>
  </si>
  <si>
    <t>Maracay</t>
  </si>
  <si>
    <t>Aragua</t>
  </si>
  <si>
    <t>Venezuela</t>
  </si>
  <si>
    <t>CSG (China South Industries Group)</t>
  </si>
  <si>
    <t>Zhongshan South Road, Haidian District</t>
  </si>
  <si>
    <t>Beijing</t>
  </si>
  <si>
    <t>China</t>
  </si>
  <si>
    <t>Denel PMP</t>
  </si>
  <si>
    <t>Atlas Road &amp; Dunlop Street, Bonaero Park</t>
  </si>
  <si>
    <t>Kempton Park</t>
  </si>
  <si>
    <t>Gauteng</t>
  </si>
  <si>
    <t>South Africa</t>
  </si>
  <si>
    <t>FN Herstal</t>
  </si>
  <si>
    <t>Voie de Liège, 33</t>
  </si>
  <si>
    <t>Herstal</t>
  </si>
  <si>
    <t>Liège</t>
  </si>
  <si>
    <t>Belgium</t>
  </si>
  <si>
    <t>Hirtenberger AG</t>
  </si>
  <si>
    <t>Fabriksplatz 1</t>
  </si>
  <si>
    <t>Hirtenberg</t>
  </si>
  <si>
    <t>Austria</t>
  </si>
  <si>
    <t>Nammo AS</t>
  </si>
  <si>
    <t>Mustadvegen 45</t>
  </si>
  <si>
    <t>Raufoss</t>
  </si>
  <si>
    <t>Oppland</t>
  </si>
  <si>
    <t>Norway</t>
  </si>
  <si>
    <t>NORINCO (China North Industries Corporation)</t>
  </si>
  <si>
    <t>9 Yumin Road, Xicheng District</t>
  </si>
  <si>
    <t>Poongsan Corporation</t>
  </si>
  <si>
    <t>77 Saemangeum-gil, Buan-gun</t>
  </si>
  <si>
    <t>Jeollabuk-do</t>
  </si>
  <si>
    <t>South Korea</t>
  </si>
  <si>
    <t>Amsler-Laffon-Strasse 9</t>
  </si>
  <si>
    <t>Bern</t>
  </si>
  <si>
    <t>Rheinmetall Waffe Munition GmbH</t>
  </si>
  <si>
    <t>Zum Stiftsberg 2</t>
  </si>
  <si>
    <t>Unterlüß</t>
  </si>
  <si>
    <t>Niedersachsen</t>
  </si>
  <si>
    <t>Nexter Munitions</t>
  </si>
  <si>
    <t>13 Rue Baudin</t>
  </si>
  <si>
    <t>Bourges</t>
  </si>
  <si>
    <t>-</t>
  </si>
  <si>
    <t>France</t>
  </si>
  <si>
    <t>Nammo Raufoss AS</t>
  </si>
  <si>
    <t>Raufossvegen 300</t>
  </si>
  <si>
    <t>Arsenal JSCo</t>
  </si>
  <si>
    <t>7, Lomsko Shose Blvd.</t>
  </si>
  <si>
    <t>Kazanlak</t>
  </si>
  <si>
    <t>Bulgaria</t>
  </si>
  <si>
    <t>Zakłady Metalowe Mesko S.A.</t>
  </si>
  <si>
    <t>ul. Przemysłowa 2</t>
  </si>
  <si>
    <t>Skarżysko-Kamienna</t>
  </si>
  <si>
    <t>Świętokrzyskie</t>
  </si>
  <si>
    <t>26-110</t>
  </si>
  <si>
    <t>Poland</t>
  </si>
  <si>
    <t>65 Haishan Rd, Longquan District</t>
  </si>
  <si>
    <t>Chengdu</t>
  </si>
  <si>
    <t>Sichuan</t>
  </si>
  <si>
    <t>Israel Military Industries Ltd. (IMI)</t>
  </si>
  <si>
    <t>P.O. Box 63</t>
  </si>
  <si>
    <t>Ramat Hasharon</t>
  </si>
  <si>
    <t>Atlas Road, Bonaero Park</t>
  </si>
  <si>
    <t>Expal Systems S.A.</t>
  </si>
  <si>
    <t>Carretera de Extremadura Km 23,5</t>
  </si>
  <si>
    <t>Alcalá de Henares</t>
  </si>
  <si>
    <t>Spain</t>
  </si>
  <si>
    <t>30-7 Yongam-ri, Seongsan-myeon</t>
  </si>
  <si>
    <t>Changwon</t>
  </si>
  <si>
    <t>Gyeongsangnam-do</t>
  </si>
  <si>
    <t>642-050</t>
  </si>
  <si>
    <t>General Dynamics Ordnance and Tactical Systems</t>
  </si>
  <si>
    <t>11399 16th Court N</t>
  </si>
  <si>
    <t>St. Petersburg</t>
  </si>
  <si>
    <t>Florida</t>
  </si>
  <si>
    <t>33716-2208</t>
  </si>
  <si>
    <t>Lake City Army Ammunition Plant</t>
  </si>
  <si>
    <t>4500 NW 210th Street</t>
  </si>
  <si>
    <t>Independence</t>
  </si>
  <si>
    <t>Missouri</t>
  </si>
  <si>
    <t>Alliant Techsystems (ATK)</t>
  </si>
  <si>
    <t>7480 Flying Cloud Drive</t>
  </si>
  <si>
    <t>Eden Prairie</t>
  </si>
  <si>
    <t>55344-3372</t>
  </si>
  <si>
    <t>American Ordnance</t>
  </si>
  <si>
    <t>2100 US-34</t>
  </si>
  <si>
    <t>Middletown</t>
  </si>
  <si>
    <t>Iowa</t>
  </si>
  <si>
    <t>Nammo Talley</t>
  </si>
  <si>
    <t>1601 W. Pine Street</t>
  </si>
  <si>
    <t>Mesa</t>
  </si>
  <si>
    <t>Arizona</t>
  </si>
  <si>
    <t>Rheinmetall Defense</t>
  </si>
  <si>
    <t>1275 Barlow Street</t>
  </si>
  <si>
    <t>Traverse City</t>
  </si>
  <si>
    <t>Michigan</t>
  </si>
  <si>
    <t>Olin Corporation (Winchester Ammunition)</t>
  </si>
  <si>
    <t>600 Powder Mill Road</t>
  </si>
  <si>
    <t>62024-1273</t>
  </si>
  <si>
    <t>Federal Cartridge Company (Federal Premium Ammunition)</t>
  </si>
  <si>
    <t>900 Ehlen Drive</t>
  </si>
  <si>
    <t>Northrop Grumman Defense Systems</t>
  </si>
  <si>
    <t>3420 S. Broadway</t>
  </si>
  <si>
    <t>St. Louis</t>
  </si>
  <si>
    <t>63118-1803</t>
  </si>
  <si>
    <t>The Boeing Company</t>
  </si>
  <si>
    <t>100 North Riverside Plaza</t>
  </si>
  <si>
    <t>Chicago</t>
  </si>
  <si>
    <t>60606-1596</t>
  </si>
  <si>
    <t>BAE Systems</t>
  </si>
  <si>
    <t>1101 Wilson Boulevard</t>
  </si>
  <si>
    <t>Arlington</t>
  </si>
  <si>
    <t>Virginia</t>
  </si>
  <si>
    <t>Nammo</t>
  </si>
  <si>
    <t>P.O. Box 1003</t>
  </si>
  <si>
    <t>11399 16th Court North</t>
  </si>
  <si>
    <t>13 route de la Minière</t>
  </si>
  <si>
    <t>Rennes Cedex</t>
  </si>
  <si>
    <t>Rheinmetall Defence</t>
  </si>
  <si>
    <t>Rheinmetall Platz 1</t>
  </si>
  <si>
    <t>Düsseldorf</t>
  </si>
  <si>
    <t>Israel Military Industries (IMI)</t>
  </si>
  <si>
    <t>P.O. Box 437</t>
  </si>
  <si>
    <t>149 Gwahak-ro (Dodam-dong), Yuseong-gu</t>
  </si>
  <si>
    <t>Daejeon</t>
  </si>
  <si>
    <t>7, Lomsko shose str.</t>
  </si>
  <si>
    <t>Norinco</t>
  </si>
  <si>
    <t>No.1, Sitong Road, Zhongshan District</t>
  </si>
  <si>
    <t>Dalian</t>
  </si>
  <si>
    <t>No.188, Pingyang Road, Nanjing Economic</t>
  </si>
  <si>
    <t>Nanjing</t>
  </si>
  <si>
    <t>Yugoimport SDPR (Serbia)</t>
  </si>
  <si>
    <t>Bul. Umetnosti 2, P.O.Box 558</t>
  </si>
  <si>
    <t>Belgrade</t>
  </si>
  <si>
    <t>Soltam Systems (Israel)</t>
  </si>
  <si>
    <t>P.O. Box 574</t>
  </si>
  <si>
    <t>Yokneam Illit</t>
  </si>
  <si>
    <t>Sagem (France)</t>
  </si>
  <si>
    <t>27 rue Leblanc</t>
  </si>
  <si>
    <t>Paris Cedex 15</t>
  </si>
  <si>
    <t>S&amp;T Motiv (South Korea)</t>
  </si>
  <si>
    <t>88, Munji-ro Yuseong-gu</t>
  </si>
  <si>
    <t>Diehl Defence (Germany)</t>
  </si>
  <si>
    <t>Alte Nürnberger Str. 13</t>
  </si>
  <si>
    <t>Überlingen</t>
  </si>
  <si>
    <t>Orbital ATK (USA)</t>
  </si>
  <si>
    <t>1300 Wilson Blvd</t>
  </si>
  <si>
    <t>Lockheed Martin</t>
  </si>
  <si>
    <t>6801 Rockledge Dr.</t>
  </si>
  <si>
    <t>Bethesda</t>
  </si>
  <si>
    <t>Raytheon</t>
  </si>
  <si>
    <t>870 Winter Street</t>
  </si>
  <si>
    <t>Waltham</t>
  </si>
  <si>
    <t>Massachusetts</t>
  </si>
  <si>
    <t>Northrop Grumman</t>
  </si>
  <si>
    <t>2980 Fairview Park Dr.</t>
  </si>
  <si>
    <t>Falls Church</t>
  </si>
  <si>
    <t>Boeing</t>
  </si>
  <si>
    <t>100 North Riverside</t>
  </si>
  <si>
    <t>General Dynamics</t>
  </si>
  <si>
    <t>2941 Fairview Park Drive</t>
  </si>
  <si>
    <t>MBDA</t>
  </si>
  <si>
    <t>37 Boulevard de Montmorency</t>
  </si>
  <si>
    <t>Paris</t>
  </si>
  <si>
    <t>Ile-de-France</t>
  </si>
  <si>
    <t>Safran Electronics &amp; Defense</t>
  </si>
  <si>
    <t>2 Boulevard du Général Martial Valin</t>
  </si>
  <si>
    <t>Thales Group</t>
  </si>
  <si>
    <t>45 rue de Villiers</t>
  </si>
  <si>
    <t>Neuilly-sur-Seine</t>
  </si>
  <si>
    <t>Rafael Advanced Defense Systems</t>
  </si>
  <si>
    <t>Ha'harash St 16</t>
  </si>
  <si>
    <t>Haifa</t>
  </si>
  <si>
    <t>Israel Aerospace Industries</t>
  </si>
  <si>
    <t>Ben Gurion International Airport</t>
  </si>
  <si>
    <t>Lod</t>
  </si>
  <si>
    <t>Roketsan</t>
  </si>
  <si>
    <t>Turgut Ozal Bulvari No: 71 06830</t>
  </si>
  <si>
    <t>Ankara</t>
  </si>
  <si>
    <t>Turkey</t>
  </si>
  <si>
    <t>9, Fuchengmenwai Avenue, Xicheng District</t>
  </si>
  <si>
    <t>Avibras Indústria Aeroespacial</t>
  </si>
  <si>
    <t>Av. Paulista, 2421</t>
  </si>
  <si>
    <t>São Paulo</t>
  </si>
  <si>
    <t>01310-300</t>
  </si>
  <si>
    <t>Mitsubishi Heavy Industries</t>
  </si>
  <si>
    <t>16-5, Konan 2-chome, Minato-ku</t>
  </si>
  <si>
    <t>Tokyo</t>
  </si>
  <si>
    <t>108-8215</t>
  </si>
  <si>
    <t>Japan</t>
  </si>
  <si>
    <t>6 Carlton Gardens</t>
  </si>
  <si>
    <t>London</t>
  </si>
  <si>
    <t>SW1Y 5AD</t>
  </si>
  <si>
    <t>UK</t>
  </si>
  <si>
    <t>Kongsberg Defence &amp; Aerospace</t>
  </si>
  <si>
    <t>Kirkegårdsveien 45</t>
  </si>
  <si>
    <t>Kongsberg</t>
  </si>
  <si>
    <t>Taurus Systems GmbH</t>
  </si>
  <si>
    <t>Im Steiger 5-6</t>
  </si>
  <si>
    <t>Baden-Württemberg</t>
  </si>
  <si>
    <t>UkrOboronProm</t>
  </si>
  <si>
    <t>26-28, Hospitalna St.</t>
  </si>
  <si>
    <t>Kyiv</t>
  </si>
  <si>
    <t>Ukraine</t>
  </si>
  <si>
    <t>Bharat Dynamics Limited</t>
  </si>
  <si>
    <t>Kanchanbagh</t>
  </si>
  <si>
    <t>Hyderabad</t>
  </si>
  <si>
    <t>Telangana</t>
  </si>
  <si>
    <t>India</t>
  </si>
  <si>
    <t>Hanwha Defense</t>
  </si>
  <si>
    <t>68 Chungmuro</t>
  </si>
  <si>
    <t>Seoul</t>
  </si>
  <si>
    <t>Rheinmetall AG</t>
  </si>
  <si>
    <t>Fjøsangerveien 207</t>
  </si>
  <si>
    <t>Bergen</t>
  </si>
  <si>
    <t>FL</t>
  </si>
  <si>
    <t>ST Engineering</t>
  </si>
  <si>
    <t>1 Ang Mo Kio Electronics Park Road</t>
  </si>
  <si>
    <t>Singapore</t>
  </si>
  <si>
    <t>45 Rue de Villiers</t>
  </si>
  <si>
    <t>Hirtenberger Defence Systems</t>
  </si>
  <si>
    <t>Hirtenbergerstraße 1</t>
  </si>
  <si>
    <t>7 Vasil Aprilov blvd.</t>
  </si>
  <si>
    <t>Orbital ATK</t>
  </si>
  <si>
    <t>3300 South 900 West</t>
  </si>
  <si>
    <t>Salt Lake City</t>
  </si>
  <si>
    <t>1 Wilmar Road</t>
  </si>
  <si>
    <t>Pretoria West</t>
  </si>
  <si>
    <t>China North Industries Corporation (NORINCO)</t>
  </si>
  <si>
    <t>No. 16, Anding Road, Chaoyang District</t>
  </si>
  <si>
    <t>S&amp;T Motiv</t>
  </si>
  <si>
    <t>108, Beolmal-ro, Dongan-gu</t>
  </si>
  <si>
    <t>Anyang-si</t>
  </si>
  <si>
    <t>Gyeonggi-do</t>
  </si>
  <si>
    <t>127, Sanggok-ri, Jillyang-eup</t>
  </si>
  <si>
    <t>Gyeongsan-si</t>
  </si>
  <si>
    <t>Gyeongsangbuk-do</t>
  </si>
  <si>
    <t>712-851</t>
  </si>
  <si>
    <t>Simmel Difesa</t>
  </si>
  <si>
    <t>Viale Gian Galeazzo Alessi, 2</t>
  </si>
  <si>
    <t>Roma</t>
  </si>
  <si>
    <t>Italy</t>
  </si>
  <si>
    <t>Rosoboronexport</t>
  </si>
  <si>
    <t>27, Stromynka Str.</t>
  </si>
  <si>
    <t>Moscow</t>
  </si>
  <si>
    <t>Russia</t>
  </si>
  <si>
    <t>Indian Ordnance Factories</t>
  </si>
  <si>
    <t>Ayudh Bhawan, Government of India, Ministry of Defence</t>
  </si>
  <si>
    <t>Kolkata</t>
  </si>
  <si>
    <t>West Bengal</t>
  </si>
  <si>
    <t>Zala Aero</t>
  </si>
  <si>
    <t>70A, Vatutina str.</t>
  </si>
  <si>
    <t>Izhevsk</t>
  </si>
  <si>
    <t>Udmurt Republic</t>
  </si>
  <si>
    <t>Nitrochemie AG</t>
  </si>
  <si>
    <t>Wolfgangstraße 23-25</t>
  </si>
  <si>
    <t>Wimmis</t>
  </si>
  <si>
    <t>No. 99, Zhongshan Road, Xuanwu District</t>
  </si>
  <si>
    <t>Eurenco</t>
  </si>
  <si>
    <t>3, rue Eugène et Armand Peugeot ZI La Pièce 8</t>
  </si>
  <si>
    <t>Sorgues</t>
  </si>
  <si>
    <t>BAE Systems (USA)</t>
  </si>
  <si>
    <t>CSG (China South Industries Group) Beijing</t>
  </si>
  <si>
    <t>CSG (China South Industries Group) Nanjing</t>
  </si>
  <si>
    <t>Denel PMP (Kempton)</t>
  </si>
  <si>
    <t>Denel PMP (Pretoria)</t>
  </si>
  <si>
    <t>Nammo Talley (USA)</t>
  </si>
  <si>
    <t>Rheinmetall Defense (USA)</t>
  </si>
  <si>
    <t>NEQ</t>
  </si>
  <si>
    <t>Ball</t>
  </si>
  <si>
    <t>Tracer</t>
  </si>
  <si>
    <t>Armor-Piercing (AP)</t>
  </si>
  <si>
    <t>Incendiary</t>
  </si>
  <si>
    <t>Blank</t>
  </si>
  <si>
    <t>Dummy</t>
  </si>
  <si>
    <t>Practice</t>
  </si>
  <si>
    <t>Armory Name</t>
  </si>
  <si>
    <t>Address</t>
  </si>
  <si>
    <t>Waffenplatz Thun</t>
  </si>
  <si>
    <t>Waffenplatzstrasse 50</t>
  </si>
  <si>
    <t>Waffenplatz Bure</t>
  </si>
  <si>
    <t>Obere Fabrikstrasse 50</t>
  </si>
  <si>
    <t>Bure</t>
  </si>
  <si>
    <t>Solothurn</t>
  </si>
  <si>
    <t>Waffenplatz Kloten</t>
  </si>
  <si>
    <t>Schulstrasse 61</t>
  </si>
  <si>
    <t>Kloten</t>
  </si>
  <si>
    <t>Zurich</t>
  </si>
  <si>
    <t>Waffenplatz Emmen</t>
  </si>
  <si>
    <t>Flugplatzstrasse 1</t>
  </si>
  <si>
    <t>Emmen</t>
  </si>
  <si>
    <t>Lucerne</t>
  </si>
  <si>
    <t>Waffenplatz Frauenfeld</t>
  </si>
  <si>
    <t>Industriestrasse 27</t>
  </si>
  <si>
    <t>Frauenfeld</t>
  </si>
  <si>
    <t>Thurgau</t>
  </si>
  <si>
    <t>Waffenplatz Walenstadt</t>
  </si>
  <si>
    <t>Chnobelweg 5</t>
  </si>
  <si>
    <t>Walenstadt</t>
  </si>
  <si>
    <t>St. Gallen</t>
  </si>
  <si>
    <t>Rue du Château 28</t>
  </si>
  <si>
    <t>Moudon</t>
  </si>
  <si>
    <t>Vaud</t>
  </si>
  <si>
    <t>Avenue de la Gare 32</t>
  </si>
  <si>
    <t>Sion</t>
  </si>
  <si>
    <t>Valais</t>
  </si>
  <si>
    <t>Waffenplatz Chur</t>
  </si>
  <si>
    <t>Kasernenstrasse 19</t>
  </si>
  <si>
    <t>Chur</t>
  </si>
  <si>
    <t>Graubunden</t>
  </si>
  <si>
    <t>Via Strada per la Piana 22</t>
  </si>
  <si>
    <t>Airolo</t>
  </si>
  <si>
    <t>Ticino</t>
  </si>
  <si>
    <t>Piazza d'armi di Airolo</t>
  </si>
  <si>
    <t>Place d'armes de Moudon</t>
  </si>
  <si>
    <t>Place d'armes de Sion</t>
  </si>
  <si>
    <t>Identifier</t>
  </si>
  <si>
    <t>Quantity</t>
  </si>
  <si>
    <t>ESH</t>
  </si>
  <si>
    <t>eUOS</t>
  </si>
  <si>
    <t>BKI_date</t>
  </si>
  <si>
    <t>Condition Code</t>
  </si>
  <si>
    <t>Pack QTY</t>
  </si>
  <si>
    <t>Ban</t>
  </si>
  <si>
    <t>Ban Text</t>
  </si>
  <si>
    <t>HCC</t>
  </si>
  <si>
    <t>Code</t>
  </si>
  <si>
    <t>A: Serviceable, in good condition</t>
  </si>
  <si>
    <t>B: Serviceable, in fair condition</t>
  </si>
  <si>
    <t>C: Serviceable, in poor condition</t>
  </si>
  <si>
    <t>D: Unserviceable, beyond economical repair</t>
  </si>
  <si>
    <t>E: Unserviceable, but reparable by maintenance activity</t>
  </si>
  <si>
    <t>F: Unserviceable, repairable by designated organizational maintenance</t>
  </si>
  <si>
    <t>G: Unserviceable, requires special handling or storage</t>
  </si>
  <si>
    <t>A</t>
  </si>
  <si>
    <t>B</t>
  </si>
  <si>
    <t>C</t>
  </si>
  <si>
    <t>D</t>
  </si>
  <si>
    <t>E</t>
  </si>
  <si>
    <t>F</t>
  </si>
  <si>
    <t>G</t>
  </si>
  <si>
    <t>CC_Index</t>
  </si>
  <si>
    <t>Description</t>
  </si>
  <si>
    <t>Mass detonating explosive with a mass explosion hazard</t>
  </si>
  <si>
    <t>Non-mass detonating explosive with a projection hazard</t>
  </si>
  <si>
    <t>1.2.1</t>
  </si>
  <si>
    <t>Explosive substance or article with a mass explosion hazard</t>
  </si>
  <si>
    <t>1.2.2</t>
  </si>
  <si>
    <t>Explosive article with a projection hazard but not a mass explosion hazard</t>
  </si>
  <si>
    <t>1.2.3</t>
  </si>
  <si>
    <t>Article containing very insensitive detonating substance with a mass explosion hazard</t>
  </si>
  <si>
    <t>Mass fire hazard</t>
  </si>
  <si>
    <t>1.3.1</t>
  </si>
  <si>
    <t>Explosive substance or article which presents a minor blast hazard</t>
  </si>
  <si>
    <t>1.3.2</t>
  </si>
  <si>
    <t>Article containing very insensitive detonating substance with a minor blast hazard</t>
  </si>
  <si>
    <t>Moderate fire hazard</t>
  </si>
  <si>
    <t>Low fire hazard</t>
  </si>
  <si>
    <t>Extremely insensitive articles which do not have a mass explosion hazard</t>
  </si>
  <si>
    <t>Flammable gas</t>
  </si>
  <si>
    <t>Non-flammable, non-toxic gas</t>
  </si>
  <si>
    <t>Toxic gas</t>
  </si>
  <si>
    <t>Flammable liquid</t>
  </si>
  <si>
    <t>Flammable solid, self-reactive substance, and solid desensitized explosives</t>
  </si>
  <si>
    <t>Substances liable to spontaneous combustion</t>
  </si>
  <si>
    <t>Substances which, in contact with water, emit flammable gases</t>
  </si>
  <si>
    <t>Oxidizing substance (agents) by yielding oxygen increase the risk and intensity of fire</t>
  </si>
  <si>
    <t>Organic peroxide, either with or without a subsidiary risk of explosion</t>
  </si>
  <si>
    <t>Toxic substances</t>
  </si>
  <si>
    <t>Infectious substances</t>
  </si>
  <si>
    <t>Radioactive material</t>
  </si>
  <si>
    <t>Corrosive substance</t>
  </si>
  <si>
    <t>Miscellaneous dangerous substances and articles</t>
  </si>
  <si>
    <t>Magnetized material</t>
  </si>
  <si>
    <t>Elevated temperature material</t>
  </si>
  <si>
    <t>Dangerous goods in articles or substances which pose an environmental hazard</t>
  </si>
  <si>
    <t>Lithium batteries</t>
  </si>
  <si>
    <t>Manufacturer's Identification Symbols (MIS)</t>
  </si>
  <si>
    <t>Associated Company</t>
  </si>
  <si>
    <t>AAJ</t>
  </si>
  <si>
    <t>AAI Corporation (a division of Textron Systems)</t>
  </si>
  <si>
    <t>AJM</t>
  </si>
  <si>
    <t>Action Manufacturing Company - Bristol, Pennsylvania</t>
  </si>
  <si>
    <t>AKT</t>
  </si>
  <si>
    <t>Action Manufacturing Company - Philadelphia, Pennsylvania</t>
  </si>
  <si>
    <t>AMC</t>
  </si>
  <si>
    <t>Neff Plastics - Bloomfield, Iowa</t>
  </si>
  <si>
    <t>AMJ</t>
  </si>
  <si>
    <t>AMTEC Corporation - Janesville, Wisconsin</t>
  </si>
  <si>
    <t>AMN</t>
  </si>
  <si>
    <t>Action Manufacturing Company - Atglen, Pennsylvania</t>
  </si>
  <si>
    <t>BRW</t>
  </si>
  <si>
    <t>Borg Warner Manufacturing - Chicago, Illinois USA</t>
  </si>
  <si>
    <t>FA</t>
  </si>
  <si>
    <t>Frankford Arsenal - Philadelphia</t>
  </si>
  <si>
    <t>FCC</t>
  </si>
  <si>
    <t>Federal Cartridge Company - Anoka, Minnesota, USA</t>
  </si>
  <si>
    <t>HAW</t>
  </si>
  <si>
    <t>Naval Ammunition Depot Hawthorne (NADH) - Hawthorne, Nevada</t>
  </si>
  <si>
    <t>HW</t>
  </si>
  <si>
    <t>Hawthorne Army Ammunition Plant (HWAAP) [1977-1995] / Hawthorne Army Depot (HWAD) [1996–Present]</t>
  </si>
  <si>
    <t>LC</t>
  </si>
  <si>
    <t>Lake City Army Ammunition Plant - Independence, Missouri</t>
  </si>
  <si>
    <t>LOP</t>
  </si>
  <si>
    <t>Louisiana Army Ammunition Plant - Doyline, Webster Parish, Louisiana</t>
  </si>
  <si>
    <t>LS</t>
  </si>
  <si>
    <t>Lone Star Army Ammunition Plant - Texarkana, Texas</t>
  </si>
  <si>
    <t>MA</t>
  </si>
  <si>
    <t>Milan Arsenal - Milan, Tennessee</t>
  </si>
  <si>
    <t>PB, PBA</t>
  </si>
  <si>
    <t>Pine Bluff Arsenal - Pine Bluff, Arkansas</t>
  </si>
  <si>
    <t>RA</t>
  </si>
  <si>
    <t>Remington Arms</t>
  </si>
  <si>
    <t>RIA</t>
  </si>
  <si>
    <t>Rock Island Arsenal - Arsenal Island, Illinois</t>
  </si>
  <si>
    <t>RMA</t>
  </si>
  <si>
    <t>Rocky Mountain Arsenal - Commerce City, Colorado</t>
  </si>
  <si>
    <t>RSB</t>
  </si>
  <si>
    <t>Rowley Spring &amp; Stamping - Bristol, Connecticut</t>
  </si>
  <si>
    <t>SL</t>
  </si>
  <si>
    <t>St. Louis Army Ammunition Plant - St. Louis, Missouri</t>
  </si>
  <si>
    <t>TRW</t>
  </si>
  <si>
    <t>Thompson-Ramo-Wooldridge - Euclid, Ohio, USA</t>
  </si>
  <si>
    <t>TW</t>
  </si>
  <si>
    <t>Twin Cities Army Ammunition Plant - Ramsey County, Minnesota</t>
  </si>
  <si>
    <t>UPH</t>
  </si>
  <si>
    <t>Unidynamics (?-2006) - Phoenix, Arizona</t>
  </si>
  <si>
    <t>WRA</t>
  </si>
  <si>
    <t>Winchester Repeating Arms - a subdivision of the Western Cartridge Company</t>
  </si>
  <si>
    <t>WCC</t>
  </si>
  <si>
    <t>Western Cartridge Company - East Alton, Illinois, USA</t>
  </si>
  <si>
    <t>DAQ</t>
  </si>
  <si>
    <t>Dominion Arsenal - Quebec City - Quebec, Canada</t>
  </si>
  <si>
    <t>FN</t>
  </si>
  <si>
    <t>Fabrique Nationale d'Herstal - Herstal, Belgium</t>
  </si>
  <si>
    <t>FKP</t>
  </si>
  <si>
    <t>Poongsan Metal Manufacturing Co. Ltd. - Seoul, Korea</t>
  </si>
  <si>
    <t>HXP</t>
  </si>
  <si>
    <t>Greek Powder &amp; Cartridge Company (Pyrkal) - Athens, Greece</t>
  </si>
  <si>
    <t>IVI</t>
  </si>
  <si>
    <t>Industries Valcartier Incorporee - Valcartier, Quebec, Canada</t>
  </si>
  <si>
    <t>KA</t>
  </si>
  <si>
    <t>Pusan Government Arsenal - Busan, South Korea</t>
  </si>
  <si>
    <t>TZZ</t>
  </si>
  <si>
    <t>Israeli Military Industries Small Caliber Ammunition Division - Tel Aviv, Israel</t>
  </si>
  <si>
    <t>VA</t>
  </si>
  <si>
    <t>Verdun Arsenal - Verdun, Montreal, Quebec, Canada</t>
  </si>
  <si>
    <t>Manu</t>
  </si>
  <si>
    <t>AGU19D034-002</t>
  </si>
  <si>
    <t>AGU19D034-003</t>
  </si>
  <si>
    <t>AGU19D034-004</t>
  </si>
  <si>
    <t>AGU19D034-005</t>
  </si>
  <si>
    <t>AGU19D034-006</t>
  </si>
  <si>
    <t>AGU19D034-007</t>
  </si>
  <si>
    <t>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</si>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</sst>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74151"/>
      <name val="Segoe UI"/>
      <family val="2"/>
    </font>
    <font>
      <sz val="11"/>
      <color rgb="FF37415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  <font>
      <sz val="11"/>
      <color rgb="FF000000"/>
      <name val="Arial"/>
      <family val="2"/>
    </font>
    <font>
      <sz val="12"/>
      <color rgb="FF374151"/>
      <name val="Calibri"/>
      <family val="2"/>
      <scheme val="minor"/>
    </font>
    <font>
      <b/>
      <sz val="12"/>
      <color rgb="FF202122"/>
      <name val="Arial"/>
      <family val="2"/>
    </font>
    <font>
      <sz val="12"/>
      <color theme="1"/>
      <name val="Arial"/>
      <family val="2"/>
    </font>
    <font>
      <i/>
      <sz val="12"/>
      <color rgb="FF202122"/>
      <name val="Arial"/>
      <family val="2"/>
    </font>
    <font>
      <sz val="12"/>
      <color rgb="FF202122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0" xfId="1" applyFont="1"/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 wrapText="1"/>
    </xf>
    <xf numFmtId="0" fontId="9" fillId="3" borderId="0" xfId="0" applyFont="1" applyFill="1"/>
    <xf numFmtId="0" fontId="10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0" fillId="0" borderId="0" xfId="0" applyFont="1"/>
    <xf numFmtId="0" fontId="12" fillId="0" borderId="0" xfId="0" applyFont="1" applyAlignment="1">
      <alignment horizontal="left" vertical="center" indent="4"/>
    </xf>
    <xf numFmtId="1" fontId="0" fillId="0" borderId="0" xfId="0" applyNumberFormat="1" applyFont="1"/>
    <xf numFmtId="1" fontId="12" fillId="0" borderId="0" xfId="0" applyNumberFormat="1" applyFont="1" applyAlignment="1">
      <alignment horizontal="left" vertical="center" indent="4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0EA5-B95F-473C-92C7-93F3F70196F4}">
  <dimension ref="A1:N16"/>
  <sheetViews>
    <sheetView tabSelected="1" workbookViewId="0"/>
  </sheetViews>
  <sheetFormatPr defaultRowHeight="14.25" x14ac:dyDescent="0.45"/>
  <cols>
    <col min="3" max="3" width="15.265625" bestFit="1" customWidth="1"/>
    <col min="4" max="4" width="13.796875" bestFit="1" customWidth="1"/>
    <col min="9" max="9" width="14.265625" bestFit="1" customWidth="1"/>
    <col min="11" max="11" width="12.796875" bestFit="1" customWidth="1"/>
  </cols>
  <sheetData>
    <row r="1" spans="1:14" x14ac:dyDescent="0.45">
      <c r="A1" t="s">
        <v>7</v>
      </c>
      <c r="B1" t="s">
        <v>572</v>
      </c>
      <c r="C1" t="s">
        <v>0</v>
      </c>
      <c r="D1" t="s">
        <v>441</v>
      </c>
      <c r="E1" t="s">
        <v>442</v>
      </c>
      <c r="F1" t="s">
        <v>393</v>
      </c>
      <c r="G1" t="s">
        <v>443</v>
      </c>
      <c r="H1" t="s">
        <v>444</v>
      </c>
      <c r="I1" t="s">
        <v>445</v>
      </c>
      <c r="J1" t="s">
        <v>450</v>
      </c>
      <c r="K1" t="s">
        <v>446</v>
      </c>
      <c r="L1" t="s">
        <v>447</v>
      </c>
      <c r="M1" t="s">
        <v>448</v>
      </c>
      <c r="N1" t="s">
        <v>449</v>
      </c>
    </row>
    <row r="2" spans="1:14" x14ac:dyDescent="0.45">
      <c r="A2">
        <v>1</v>
      </c>
      <c r="B2">
        <v>1</v>
      </c>
      <c r="C2">
        <v>1</v>
      </c>
      <c r="D2" t="s">
        <v>573</v>
      </c>
      <c r="E2">
        <v>4</v>
      </c>
      <c r="F2">
        <v>1.59</v>
      </c>
      <c r="G2">
        <v>1</v>
      </c>
      <c r="I2">
        <v>44971.655671296299</v>
      </c>
      <c r="J2">
        <v>9</v>
      </c>
      <c r="K2">
        <v>1</v>
      </c>
      <c r="L2">
        <v>25000</v>
      </c>
      <c r="M2" t="s">
        <v>579</v>
      </c>
      <c r="N2" t="s">
        <v>580</v>
      </c>
    </row>
    <row r="3" spans="1:14" x14ac:dyDescent="0.45">
      <c r="A3">
        <v>2</v>
      </c>
      <c r="B3">
        <v>1</v>
      </c>
      <c r="C3">
        <v>1</v>
      </c>
      <c r="D3" t="s">
        <v>574</v>
      </c>
      <c r="E3">
        <v>4</v>
      </c>
      <c r="F3">
        <v>1.59</v>
      </c>
      <c r="G3">
        <v>1</v>
      </c>
      <c r="I3">
        <v>44971.655671296299</v>
      </c>
      <c r="J3">
        <v>9</v>
      </c>
      <c r="K3">
        <v>1</v>
      </c>
      <c r="L3">
        <v>25000</v>
      </c>
      <c r="M3" t="s">
        <v>579</v>
      </c>
      <c r="N3" t="s">
        <v>580</v>
      </c>
    </row>
    <row r="4" spans="1:14" x14ac:dyDescent="0.45">
      <c r="A4">
        <v>3</v>
      </c>
      <c r="B4">
        <v>1</v>
      </c>
      <c r="C4">
        <v>1</v>
      </c>
      <c r="D4" t="s">
        <v>575</v>
      </c>
      <c r="E4">
        <v>4</v>
      </c>
      <c r="F4">
        <v>1.59</v>
      </c>
      <c r="G4">
        <v>1</v>
      </c>
      <c r="I4">
        <v>44971.655671296299</v>
      </c>
      <c r="J4">
        <v>9</v>
      </c>
      <c r="K4">
        <v>1</v>
      </c>
      <c r="L4">
        <v>25000</v>
      </c>
      <c r="M4" t="s">
        <v>579</v>
      </c>
      <c r="N4" t="s">
        <v>580</v>
      </c>
    </row>
    <row r="5" spans="1:14" x14ac:dyDescent="0.45">
      <c r="A5">
        <v>4</v>
      </c>
      <c r="B5">
        <v>1</v>
      </c>
      <c r="C5">
        <v>1</v>
      </c>
      <c r="D5" t="s">
        <v>576</v>
      </c>
      <c r="E5">
        <v>4</v>
      </c>
      <c r="F5">
        <v>1.59</v>
      </c>
      <c r="G5">
        <v>2</v>
      </c>
      <c r="I5">
        <v>44971.655671296299</v>
      </c>
      <c r="J5">
        <v>9</v>
      </c>
      <c r="K5">
        <v>1</v>
      </c>
      <c r="L5">
        <v>25000</v>
      </c>
      <c r="M5" t="s">
        <v>579</v>
      </c>
      <c r="N5" t="s">
        <v>580</v>
      </c>
    </row>
    <row r="6" spans="1:14" x14ac:dyDescent="0.45">
      <c r="A6">
        <v>5</v>
      </c>
      <c r="B6">
        <v>1</v>
      </c>
      <c r="C6">
        <v>1</v>
      </c>
      <c r="D6" t="s">
        <v>577</v>
      </c>
      <c r="E6">
        <v>1</v>
      </c>
      <c r="F6">
        <v>1.59</v>
      </c>
      <c r="G6">
        <v>3</v>
      </c>
      <c r="I6">
        <v>44971.655671296299</v>
      </c>
      <c r="J6">
        <v>9</v>
      </c>
      <c r="K6">
        <v>1</v>
      </c>
      <c r="L6">
        <v>25000</v>
      </c>
      <c r="M6" t="s">
        <v>579</v>
      </c>
      <c r="N6" t="s">
        <v>580</v>
      </c>
    </row>
    <row r="7" spans="1:14" x14ac:dyDescent="0.45">
      <c r="A7">
        <v>6</v>
      </c>
      <c r="B7">
        <v>1</v>
      </c>
      <c r="C7">
        <v>1</v>
      </c>
      <c r="D7" t="s">
        <v>578</v>
      </c>
      <c r="E7">
        <v>1</v>
      </c>
      <c r="F7">
        <v>1.59</v>
      </c>
      <c r="G7">
        <v>4</v>
      </c>
      <c r="I7">
        <v>44971.655671296299</v>
      </c>
      <c r="J7">
        <v>9</v>
      </c>
      <c r="K7">
        <v>1</v>
      </c>
      <c r="L7">
        <v>10000</v>
      </c>
      <c r="M7" t="s">
        <v>579</v>
      </c>
      <c r="N7" t="s">
        <v>580</v>
      </c>
    </row>
    <row r="8" spans="1:14" x14ac:dyDescent="0.45">
      <c r="C8" s="10"/>
    </row>
    <row r="9" spans="1:14" x14ac:dyDescent="0.45">
      <c r="C9" s="10"/>
    </row>
    <row r="10" spans="1:14" x14ac:dyDescent="0.45">
      <c r="A10" s="17"/>
      <c r="B10" s="17"/>
      <c r="C10" s="18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45">
      <c r="A11" s="19"/>
      <c r="B11" s="19"/>
      <c r="C11" s="2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45">
      <c r="A12" s="19"/>
      <c r="B12" s="19"/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45">
      <c r="A13" s="19"/>
      <c r="B13" s="19"/>
      <c r="C13" s="20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45">
      <c r="A14" s="19"/>
      <c r="B14" s="19"/>
      <c r="C14" s="20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45">
      <c r="A15" s="19"/>
      <c r="B15" s="19"/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45">
      <c r="A16" s="19"/>
      <c r="B16" s="19"/>
      <c r="C16" s="19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7D7F-2BB2-4522-9CC5-CD605F7D04C0}">
  <dimension ref="A1:B8"/>
  <sheetViews>
    <sheetView workbookViewId="0">
      <selection activeCell="G21" sqref="G21"/>
    </sheetView>
  </sheetViews>
  <sheetFormatPr defaultRowHeight="14.25" x14ac:dyDescent="0.45"/>
  <sheetData>
    <row r="1" spans="1:2" x14ac:dyDescent="0.45">
      <c r="A1" t="s">
        <v>7</v>
      </c>
      <c r="B1" t="s">
        <v>0</v>
      </c>
    </row>
    <row r="2" spans="1:2" ht="18.75" x14ac:dyDescent="0.45">
      <c r="A2">
        <v>1</v>
      </c>
      <c r="B2" s="1" t="s">
        <v>394</v>
      </c>
    </row>
    <row r="3" spans="1:2" ht="18.75" x14ac:dyDescent="0.45">
      <c r="A3">
        <v>2</v>
      </c>
      <c r="B3" s="1" t="s">
        <v>395</v>
      </c>
    </row>
    <row r="4" spans="1:2" ht="18.75" x14ac:dyDescent="0.45">
      <c r="A4">
        <v>3</v>
      </c>
      <c r="B4" s="1" t="s">
        <v>396</v>
      </c>
    </row>
    <row r="5" spans="1:2" ht="18.75" x14ac:dyDescent="0.45">
      <c r="A5">
        <v>4</v>
      </c>
      <c r="B5" s="1" t="s">
        <v>397</v>
      </c>
    </row>
    <row r="6" spans="1:2" ht="18.75" x14ac:dyDescent="0.45">
      <c r="A6">
        <v>5</v>
      </c>
      <c r="B6" s="1" t="s">
        <v>398</v>
      </c>
    </row>
    <row r="7" spans="1:2" ht="18.75" x14ac:dyDescent="0.45">
      <c r="A7">
        <v>6</v>
      </c>
      <c r="B7" s="1" t="s">
        <v>399</v>
      </c>
    </row>
    <row r="8" spans="1:2" ht="18.75" x14ac:dyDescent="0.45">
      <c r="A8">
        <v>7</v>
      </c>
      <c r="B8" s="1" t="s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ACF5-150A-4DE3-A53E-2948CE4D8C54}">
  <dimension ref="A1:H95"/>
  <sheetViews>
    <sheetView workbookViewId="0">
      <selection activeCell="B2" sqref="B2"/>
    </sheetView>
  </sheetViews>
  <sheetFormatPr defaultRowHeight="14.25" x14ac:dyDescent="0.45"/>
  <cols>
    <col min="2" max="2" width="32.46484375" customWidth="1"/>
    <col min="3" max="3" width="30.1328125" bestFit="1" customWidth="1"/>
    <col min="4" max="4" width="15.9296875" bestFit="1" customWidth="1"/>
    <col min="5" max="5" width="18.06640625" bestFit="1" customWidth="1"/>
  </cols>
  <sheetData>
    <row r="1" spans="1:8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16</v>
      </c>
      <c r="H1" t="s">
        <v>13</v>
      </c>
    </row>
    <row r="2" spans="1:8" x14ac:dyDescent="0.45">
      <c r="A2">
        <v>1</v>
      </c>
      <c r="B2" s="2" t="s">
        <v>2</v>
      </c>
      <c r="C2" s="3" t="s">
        <v>22</v>
      </c>
      <c r="D2" t="s">
        <v>28</v>
      </c>
      <c r="E2" s="2" t="s">
        <v>29</v>
      </c>
      <c r="F2" t="s">
        <v>30</v>
      </c>
      <c r="G2">
        <v>32528</v>
      </c>
      <c r="H2" t="s">
        <v>31</v>
      </c>
    </row>
    <row r="3" spans="1:8" x14ac:dyDescent="0.45">
      <c r="A3">
        <f>A2+1</f>
        <v>2</v>
      </c>
      <c r="B3" t="s">
        <v>205</v>
      </c>
      <c r="C3" t="s">
        <v>206</v>
      </c>
      <c r="E3" t="s">
        <v>207</v>
      </c>
      <c r="F3" t="s">
        <v>76</v>
      </c>
      <c r="G3" t="s">
        <v>208</v>
      </c>
      <c r="H3" t="s">
        <v>17</v>
      </c>
    </row>
    <row r="4" spans="1:8" x14ac:dyDescent="0.45">
      <c r="A4">
        <f t="shared" ref="A4:A67" si="0">A3+1</f>
        <v>3</v>
      </c>
      <c r="B4" t="s">
        <v>209</v>
      </c>
      <c r="C4" t="s">
        <v>210</v>
      </c>
      <c r="E4" t="s">
        <v>211</v>
      </c>
      <c r="F4" t="s">
        <v>212</v>
      </c>
      <c r="G4">
        <v>52638</v>
      </c>
      <c r="H4" t="s">
        <v>17</v>
      </c>
    </row>
    <row r="5" spans="1:8" x14ac:dyDescent="0.45">
      <c r="A5">
        <f t="shared" si="0"/>
        <v>4</v>
      </c>
      <c r="B5" t="s">
        <v>171</v>
      </c>
      <c r="C5" t="s">
        <v>172</v>
      </c>
      <c r="E5" t="s">
        <v>173</v>
      </c>
      <c r="F5" t="s">
        <v>167</v>
      </c>
      <c r="G5">
        <v>6100</v>
      </c>
      <c r="H5" t="s">
        <v>174</v>
      </c>
    </row>
    <row r="6" spans="1:8" x14ac:dyDescent="0.45">
      <c r="A6">
        <f t="shared" si="0"/>
        <v>5</v>
      </c>
      <c r="B6" t="s">
        <v>306</v>
      </c>
      <c r="C6" t="s">
        <v>307</v>
      </c>
      <c r="E6" t="s">
        <v>308</v>
      </c>
      <c r="F6" t="s">
        <v>308</v>
      </c>
      <c r="G6" t="s">
        <v>309</v>
      </c>
      <c r="H6" t="s">
        <v>123</v>
      </c>
    </row>
    <row r="7" spans="1:8" x14ac:dyDescent="0.45">
      <c r="A7">
        <f t="shared" si="0"/>
        <v>6</v>
      </c>
      <c r="B7" t="s">
        <v>386</v>
      </c>
      <c r="C7" t="s">
        <v>235</v>
      </c>
      <c r="E7" t="s">
        <v>236</v>
      </c>
      <c r="F7" t="s">
        <v>237</v>
      </c>
      <c r="G7">
        <v>22209</v>
      </c>
      <c r="H7" t="s">
        <v>17</v>
      </c>
    </row>
    <row r="8" spans="1:8" x14ac:dyDescent="0.45">
      <c r="A8">
        <f t="shared" si="0"/>
        <v>7</v>
      </c>
      <c r="B8" t="s">
        <v>234</v>
      </c>
      <c r="C8" t="s">
        <v>315</v>
      </c>
      <c r="E8" t="s">
        <v>316</v>
      </c>
      <c r="F8" t="s">
        <v>167</v>
      </c>
      <c r="G8" t="s">
        <v>317</v>
      </c>
      <c r="H8" t="s">
        <v>318</v>
      </c>
    </row>
    <row r="9" spans="1:8" x14ac:dyDescent="0.45">
      <c r="A9">
        <f t="shared" si="0"/>
        <v>8</v>
      </c>
      <c r="B9" t="s">
        <v>110</v>
      </c>
      <c r="C9" t="s">
        <v>111</v>
      </c>
      <c r="E9" t="s">
        <v>112</v>
      </c>
      <c r="F9" t="s">
        <v>113</v>
      </c>
      <c r="G9">
        <v>84645</v>
      </c>
      <c r="H9" t="s">
        <v>17</v>
      </c>
    </row>
    <row r="10" spans="1:8" x14ac:dyDescent="0.45">
      <c r="A10">
        <f t="shared" si="0"/>
        <v>9</v>
      </c>
      <c r="B10" t="s">
        <v>329</v>
      </c>
      <c r="C10" t="s">
        <v>330</v>
      </c>
      <c r="E10" t="s">
        <v>331</v>
      </c>
      <c r="F10" t="s">
        <v>332</v>
      </c>
      <c r="G10">
        <v>500058</v>
      </c>
      <c r="H10" t="s">
        <v>333</v>
      </c>
    </row>
    <row r="11" spans="1:8" x14ac:dyDescent="0.45">
      <c r="A11">
        <f t="shared" si="0"/>
        <v>10</v>
      </c>
      <c r="B11" t="s">
        <v>282</v>
      </c>
      <c r="C11" t="s">
        <v>283</v>
      </c>
      <c r="E11" t="s">
        <v>232</v>
      </c>
      <c r="F11" t="s">
        <v>79</v>
      </c>
      <c r="G11">
        <v>60606</v>
      </c>
      <c r="H11" t="s">
        <v>17</v>
      </c>
    </row>
    <row r="12" spans="1:8" x14ac:dyDescent="0.45">
      <c r="A12">
        <f t="shared" si="0"/>
        <v>11</v>
      </c>
      <c r="B12" t="s">
        <v>114</v>
      </c>
      <c r="C12" t="s">
        <v>115</v>
      </c>
      <c r="E12" t="s">
        <v>116</v>
      </c>
      <c r="F12" t="s">
        <v>117</v>
      </c>
      <c r="G12">
        <v>63126</v>
      </c>
      <c r="H12" t="s">
        <v>17</v>
      </c>
    </row>
    <row r="13" spans="1:8" x14ac:dyDescent="0.45">
      <c r="A13">
        <f t="shared" si="0"/>
        <v>12</v>
      </c>
      <c r="B13" t="s">
        <v>124</v>
      </c>
      <c r="C13" t="s">
        <v>125</v>
      </c>
      <c r="E13" t="s">
        <v>126</v>
      </c>
      <c r="F13" t="s">
        <v>127</v>
      </c>
      <c r="G13">
        <v>2101</v>
      </c>
      <c r="H13" t="s">
        <v>128</v>
      </c>
    </row>
    <row r="14" spans="1:8" x14ac:dyDescent="0.45">
      <c r="A14">
        <f t="shared" si="0"/>
        <v>13</v>
      </c>
      <c r="B14" t="s">
        <v>118</v>
      </c>
      <c r="C14" t="s">
        <v>119</v>
      </c>
      <c r="E14" t="s">
        <v>120</v>
      </c>
      <c r="F14" t="s">
        <v>121</v>
      </c>
      <c r="G14" t="s">
        <v>122</v>
      </c>
      <c r="H14" t="s">
        <v>123</v>
      </c>
    </row>
    <row r="15" spans="1:8" x14ac:dyDescent="0.45">
      <c r="A15">
        <f t="shared" si="0"/>
        <v>14</v>
      </c>
      <c r="B15" s="2" t="s">
        <v>1</v>
      </c>
      <c r="C15" s="3" t="s">
        <v>14</v>
      </c>
      <c r="E15" s="2" t="s">
        <v>40</v>
      </c>
      <c r="F15" t="s">
        <v>15</v>
      </c>
      <c r="G15">
        <v>83501</v>
      </c>
      <c r="H15" t="s">
        <v>17</v>
      </c>
    </row>
    <row r="16" spans="1:8" x14ac:dyDescent="0.45">
      <c r="A16">
        <f t="shared" si="0"/>
        <v>15</v>
      </c>
      <c r="B16" t="s">
        <v>353</v>
      </c>
      <c r="C16" t="s">
        <v>354</v>
      </c>
      <c r="E16" t="s">
        <v>131</v>
      </c>
      <c r="F16" t="s">
        <v>167</v>
      </c>
      <c r="G16">
        <v>100029</v>
      </c>
      <c r="H16" t="s">
        <v>132</v>
      </c>
    </row>
    <row r="17" spans="1:8" x14ac:dyDescent="0.45">
      <c r="A17">
        <f t="shared" si="0"/>
        <v>16</v>
      </c>
      <c r="B17" t="s">
        <v>387</v>
      </c>
      <c r="C17" t="s">
        <v>130</v>
      </c>
      <c r="E17" t="s">
        <v>131</v>
      </c>
      <c r="F17" t="s">
        <v>131</v>
      </c>
      <c r="G17">
        <v>100089</v>
      </c>
      <c r="H17" t="s">
        <v>132</v>
      </c>
    </row>
    <row r="18" spans="1:8" x14ac:dyDescent="0.45">
      <c r="A18">
        <f t="shared" si="0"/>
        <v>17</v>
      </c>
      <c r="B18" t="s">
        <v>388</v>
      </c>
      <c r="C18" t="s">
        <v>254</v>
      </c>
      <c r="E18" t="s">
        <v>255</v>
      </c>
      <c r="F18" t="s">
        <v>167</v>
      </c>
      <c r="G18">
        <v>210011</v>
      </c>
      <c r="H18" t="s">
        <v>132</v>
      </c>
    </row>
    <row r="19" spans="1:8" x14ac:dyDescent="0.45">
      <c r="A19">
        <f t="shared" si="0"/>
        <v>18</v>
      </c>
      <c r="B19" t="s">
        <v>389</v>
      </c>
      <c r="C19" t="s">
        <v>134</v>
      </c>
      <c r="E19" t="s">
        <v>135</v>
      </c>
      <c r="F19" t="s">
        <v>136</v>
      </c>
      <c r="G19">
        <v>1619</v>
      </c>
      <c r="H19" t="s">
        <v>137</v>
      </c>
    </row>
    <row r="20" spans="1:8" x14ac:dyDescent="0.45">
      <c r="A20">
        <f t="shared" si="0"/>
        <v>19</v>
      </c>
      <c r="B20" t="s">
        <v>390</v>
      </c>
      <c r="C20" t="s">
        <v>351</v>
      </c>
      <c r="E20" t="s">
        <v>352</v>
      </c>
      <c r="F20" t="s">
        <v>167</v>
      </c>
      <c r="G20">
        <v>183</v>
      </c>
      <c r="H20" t="s">
        <v>137</v>
      </c>
    </row>
    <row r="21" spans="1:8" x14ac:dyDescent="0.45">
      <c r="A21">
        <f t="shared" si="0"/>
        <v>20</v>
      </c>
      <c r="B21" t="s">
        <v>267</v>
      </c>
      <c r="C21" t="s">
        <v>268</v>
      </c>
      <c r="E21" t="s">
        <v>269</v>
      </c>
      <c r="F21" t="s">
        <v>167</v>
      </c>
      <c r="G21">
        <v>88662</v>
      </c>
      <c r="H21" t="s">
        <v>38</v>
      </c>
    </row>
    <row r="22" spans="1:8" x14ac:dyDescent="0.45">
      <c r="A22">
        <f t="shared" si="0"/>
        <v>21</v>
      </c>
      <c r="B22" s="2" t="s">
        <v>3</v>
      </c>
      <c r="C22" s="3" t="s">
        <v>23</v>
      </c>
      <c r="E22" s="2" t="s">
        <v>32</v>
      </c>
      <c r="G22" t="s">
        <v>33</v>
      </c>
      <c r="H22" t="s">
        <v>34</v>
      </c>
    </row>
    <row r="23" spans="1:8" x14ac:dyDescent="0.45">
      <c r="A23">
        <f t="shared" si="0"/>
        <v>22</v>
      </c>
      <c r="B23" t="s">
        <v>383</v>
      </c>
      <c r="C23" t="s">
        <v>384</v>
      </c>
      <c r="E23" t="s">
        <v>385</v>
      </c>
      <c r="F23" t="s">
        <v>167</v>
      </c>
      <c r="G23">
        <v>84700</v>
      </c>
      <c r="H23" t="s">
        <v>168</v>
      </c>
    </row>
    <row r="24" spans="1:8" x14ac:dyDescent="0.45">
      <c r="A24">
        <f t="shared" si="0"/>
        <v>23</v>
      </c>
      <c r="B24" t="s">
        <v>188</v>
      </c>
      <c r="C24" t="s">
        <v>189</v>
      </c>
      <c r="E24" t="s">
        <v>190</v>
      </c>
      <c r="F24" t="s">
        <v>167</v>
      </c>
      <c r="G24">
        <v>28802</v>
      </c>
      <c r="H24" t="s">
        <v>191</v>
      </c>
    </row>
    <row r="25" spans="1:8" x14ac:dyDescent="0.45">
      <c r="A25">
        <f t="shared" si="0"/>
        <v>24</v>
      </c>
      <c r="B25" t="s">
        <v>224</v>
      </c>
      <c r="C25" t="s">
        <v>225</v>
      </c>
      <c r="E25" t="s">
        <v>75</v>
      </c>
      <c r="F25" t="s">
        <v>76</v>
      </c>
      <c r="G25">
        <v>55303</v>
      </c>
      <c r="H25" t="s">
        <v>17</v>
      </c>
    </row>
    <row r="26" spans="1:8" x14ac:dyDescent="0.45">
      <c r="A26">
        <f t="shared" si="0"/>
        <v>25</v>
      </c>
      <c r="B26" t="s">
        <v>42</v>
      </c>
      <c r="C26" t="s">
        <v>43</v>
      </c>
      <c r="E26" t="s">
        <v>75</v>
      </c>
      <c r="F26" t="s">
        <v>76</v>
      </c>
      <c r="G26">
        <v>55303</v>
      </c>
      <c r="H26" t="s">
        <v>77</v>
      </c>
    </row>
    <row r="27" spans="1:8" x14ac:dyDescent="0.45">
      <c r="A27">
        <f t="shared" si="0"/>
        <v>26</v>
      </c>
      <c r="B27" t="s">
        <v>138</v>
      </c>
      <c r="C27" t="s">
        <v>139</v>
      </c>
      <c r="E27" t="s">
        <v>140</v>
      </c>
      <c r="F27" t="s">
        <v>141</v>
      </c>
      <c r="G27">
        <v>4040</v>
      </c>
      <c r="H27" t="s">
        <v>142</v>
      </c>
    </row>
    <row r="28" spans="1:8" x14ac:dyDescent="0.45">
      <c r="A28">
        <f t="shared" si="0"/>
        <v>27</v>
      </c>
      <c r="B28" t="s">
        <v>284</v>
      </c>
      <c r="C28" t="s">
        <v>285</v>
      </c>
      <c r="E28" t="s">
        <v>281</v>
      </c>
      <c r="F28" t="s">
        <v>237</v>
      </c>
      <c r="G28">
        <v>22042</v>
      </c>
      <c r="H28" t="s">
        <v>17</v>
      </c>
    </row>
    <row r="29" spans="1:8" x14ac:dyDescent="0.45">
      <c r="A29">
        <f t="shared" si="0"/>
        <v>28</v>
      </c>
      <c r="B29" t="s">
        <v>196</v>
      </c>
      <c r="C29" t="s">
        <v>197</v>
      </c>
      <c r="E29" t="s">
        <v>198</v>
      </c>
      <c r="F29" t="s">
        <v>199</v>
      </c>
      <c r="G29" t="s">
        <v>200</v>
      </c>
      <c r="H29" t="s">
        <v>17</v>
      </c>
    </row>
    <row r="30" spans="1:8" x14ac:dyDescent="0.45">
      <c r="A30">
        <f t="shared" si="0"/>
        <v>29</v>
      </c>
      <c r="B30" t="s">
        <v>59</v>
      </c>
      <c r="C30" t="s">
        <v>60</v>
      </c>
      <c r="E30" t="s">
        <v>94</v>
      </c>
      <c r="F30" t="s">
        <v>82</v>
      </c>
      <c r="G30" t="s">
        <v>95</v>
      </c>
      <c r="H30" t="s">
        <v>96</v>
      </c>
    </row>
    <row r="31" spans="1:8" x14ac:dyDescent="0.45">
      <c r="A31">
        <f t="shared" si="0"/>
        <v>30</v>
      </c>
      <c r="B31" t="s">
        <v>334</v>
      </c>
      <c r="C31" t="s">
        <v>335</v>
      </c>
      <c r="E31" t="s">
        <v>336</v>
      </c>
      <c r="F31" t="s">
        <v>167</v>
      </c>
      <c r="G31">
        <v>4510</v>
      </c>
      <c r="H31" t="s">
        <v>157</v>
      </c>
    </row>
    <row r="32" spans="1:8" x14ac:dyDescent="0.45">
      <c r="A32">
        <f t="shared" si="0"/>
        <v>31</v>
      </c>
      <c r="B32" t="s">
        <v>143</v>
      </c>
      <c r="C32" t="s">
        <v>144</v>
      </c>
      <c r="E32" t="s">
        <v>145</v>
      </c>
      <c r="F32" t="s">
        <v>82</v>
      </c>
      <c r="G32">
        <v>2552</v>
      </c>
      <c r="H32" t="s">
        <v>146</v>
      </c>
    </row>
    <row r="33" spans="1:8" x14ac:dyDescent="0.45">
      <c r="A33">
        <f t="shared" si="0"/>
        <v>32</v>
      </c>
      <c r="B33" t="s">
        <v>345</v>
      </c>
      <c r="C33" t="s">
        <v>346</v>
      </c>
      <c r="E33" t="s">
        <v>145</v>
      </c>
      <c r="F33" t="s">
        <v>167</v>
      </c>
      <c r="G33">
        <v>2552</v>
      </c>
      <c r="H33" t="s">
        <v>146</v>
      </c>
    </row>
    <row r="34" spans="1:8" x14ac:dyDescent="0.45">
      <c r="A34">
        <f t="shared" si="0"/>
        <v>33</v>
      </c>
      <c r="B34" t="s">
        <v>44</v>
      </c>
      <c r="C34" t="s">
        <v>18</v>
      </c>
      <c r="E34" t="s">
        <v>19</v>
      </c>
      <c r="F34" t="s">
        <v>78</v>
      </c>
      <c r="G34">
        <v>68803</v>
      </c>
      <c r="H34" t="s">
        <v>77</v>
      </c>
    </row>
    <row r="35" spans="1:8" x14ac:dyDescent="0.45">
      <c r="A35">
        <f t="shared" si="0"/>
        <v>34</v>
      </c>
      <c r="B35" t="s">
        <v>61</v>
      </c>
      <c r="C35" t="s">
        <v>62</v>
      </c>
      <c r="E35" t="s">
        <v>97</v>
      </c>
      <c r="F35" t="s">
        <v>82</v>
      </c>
      <c r="G35">
        <v>4721325</v>
      </c>
      <c r="H35" t="s">
        <v>98</v>
      </c>
    </row>
    <row r="36" spans="1:8" x14ac:dyDescent="0.45">
      <c r="A36">
        <f t="shared" si="0"/>
        <v>35</v>
      </c>
      <c r="B36" t="s">
        <v>371</v>
      </c>
      <c r="C36" t="s">
        <v>372</v>
      </c>
      <c r="E36" t="s">
        <v>373</v>
      </c>
      <c r="F36" t="s">
        <v>374</v>
      </c>
      <c r="G36">
        <v>700027</v>
      </c>
      <c r="H36" t="s">
        <v>333</v>
      </c>
    </row>
    <row r="37" spans="1:8" x14ac:dyDescent="0.45">
      <c r="A37">
        <f t="shared" si="0"/>
        <v>36</v>
      </c>
      <c r="B37" t="s">
        <v>298</v>
      </c>
      <c r="C37" t="s">
        <v>299</v>
      </c>
      <c r="E37" t="s">
        <v>300</v>
      </c>
      <c r="F37" t="s">
        <v>167</v>
      </c>
      <c r="G37">
        <v>70100</v>
      </c>
      <c r="H37" t="s">
        <v>98</v>
      </c>
    </row>
    <row r="38" spans="1:8" x14ac:dyDescent="0.45">
      <c r="A38">
        <f t="shared" si="0"/>
        <v>37</v>
      </c>
      <c r="B38" t="s">
        <v>184</v>
      </c>
      <c r="C38" t="s">
        <v>185</v>
      </c>
      <c r="E38" t="s">
        <v>186</v>
      </c>
      <c r="F38" t="s">
        <v>167</v>
      </c>
      <c r="G38">
        <v>47100</v>
      </c>
      <c r="H38" t="s">
        <v>98</v>
      </c>
    </row>
    <row r="39" spans="1:8" x14ac:dyDescent="0.45">
      <c r="A39">
        <f t="shared" si="0"/>
        <v>38</v>
      </c>
      <c r="B39" t="s">
        <v>319</v>
      </c>
      <c r="C39" t="s">
        <v>320</v>
      </c>
      <c r="E39" t="s">
        <v>321</v>
      </c>
      <c r="F39" t="s">
        <v>167</v>
      </c>
      <c r="G39">
        <v>3616</v>
      </c>
      <c r="H39" t="s">
        <v>151</v>
      </c>
    </row>
    <row r="40" spans="1:8" x14ac:dyDescent="0.45">
      <c r="A40">
        <f t="shared" si="0"/>
        <v>39</v>
      </c>
      <c r="B40" t="s">
        <v>201</v>
      </c>
      <c r="C40" t="s">
        <v>202</v>
      </c>
      <c r="E40" t="s">
        <v>203</v>
      </c>
      <c r="F40" t="s">
        <v>204</v>
      </c>
      <c r="G40">
        <v>64056</v>
      </c>
      <c r="H40" t="s">
        <v>17</v>
      </c>
    </row>
    <row r="41" spans="1:8" x14ac:dyDescent="0.45">
      <c r="A41">
        <f t="shared" si="0"/>
        <v>40</v>
      </c>
      <c r="B41" s="2" t="s">
        <v>4</v>
      </c>
      <c r="C41" s="4" t="s">
        <v>24</v>
      </c>
      <c r="D41" t="s">
        <v>35</v>
      </c>
      <c r="E41" t="s">
        <v>36</v>
      </c>
      <c r="G41">
        <v>41330</v>
      </c>
      <c r="H41" t="s">
        <v>37</v>
      </c>
    </row>
    <row r="42" spans="1:8" x14ac:dyDescent="0.45">
      <c r="A42">
        <f t="shared" si="0"/>
        <v>41</v>
      </c>
      <c r="B42" t="s">
        <v>272</v>
      </c>
      <c r="C42" t="s">
        <v>273</v>
      </c>
      <c r="E42" t="s">
        <v>274</v>
      </c>
      <c r="F42" t="s">
        <v>109</v>
      </c>
      <c r="G42">
        <v>20817</v>
      </c>
      <c r="H42" t="s">
        <v>17</v>
      </c>
    </row>
    <row r="43" spans="1:8" x14ac:dyDescent="0.45">
      <c r="A43">
        <f t="shared" si="0"/>
        <v>42</v>
      </c>
      <c r="B43" t="s">
        <v>286</v>
      </c>
      <c r="C43" t="s">
        <v>287</v>
      </c>
      <c r="E43" t="s">
        <v>288</v>
      </c>
      <c r="F43" t="s">
        <v>289</v>
      </c>
      <c r="G43">
        <v>75016</v>
      </c>
      <c r="H43" t="s">
        <v>168</v>
      </c>
    </row>
    <row r="44" spans="1:8" x14ac:dyDescent="0.45">
      <c r="A44">
        <f t="shared" si="0"/>
        <v>43</v>
      </c>
      <c r="B44" t="s">
        <v>63</v>
      </c>
      <c r="C44" t="s">
        <v>64</v>
      </c>
      <c r="E44" t="s">
        <v>99</v>
      </c>
      <c r="F44" t="s">
        <v>82</v>
      </c>
      <c r="G44">
        <v>56377</v>
      </c>
      <c r="H44" t="s">
        <v>38</v>
      </c>
    </row>
    <row r="45" spans="1:8" x14ac:dyDescent="0.45">
      <c r="A45">
        <f t="shared" si="0"/>
        <v>44</v>
      </c>
      <c r="B45" t="s">
        <v>310</v>
      </c>
      <c r="C45" t="s">
        <v>311</v>
      </c>
      <c r="E45" t="s">
        <v>312</v>
      </c>
      <c r="F45" t="s">
        <v>167</v>
      </c>
      <c r="G45" t="s">
        <v>313</v>
      </c>
      <c r="H45" t="s">
        <v>314</v>
      </c>
    </row>
    <row r="46" spans="1:8" x14ac:dyDescent="0.45">
      <c r="A46">
        <f t="shared" si="0"/>
        <v>45</v>
      </c>
      <c r="B46" t="s">
        <v>147</v>
      </c>
      <c r="C46" t="s">
        <v>148</v>
      </c>
      <c r="E46" t="s">
        <v>149</v>
      </c>
      <c r="F46" t="s">
        <v>150</v>
      </c>
      <c r="G46">
        <v>2830</v>
      </c>
      <c r="H46" t="s">
        <v>151</v>
      </c>
    </row>
    <row r="47" spans="1:8" x14ac:dyDescent="0.45">
      <c r="A47">
        <f t="shared" si="0"/>
        <v>46</v>
      </c>
      <c r="B47" t="s">
        <v>169</v>
      </c>
      <c r="C47" t="s">
        <v>170</v>
      </c>
      <c r="E47" t="s">
        <v>149</v>
      </c>
      <c r="F47" t="s">
        <v>167</v>
      </c>
      <c r="G47">
        <v>2830</v>
      </c>
      <c r="H47" t="s">
        <v>151</v>
      </c>
    </row>
    <row r="48" spans="1:8" x14ac:dyDescent="0.45">
      <c r="A48">
        <f t="shared" si="0"/>
        <v>47</v>
      </c>
      <c r="B48" t="s">
        <v>391</v>
      </c>
      <c r="C48" t="s">
        <v>214</v>
      </c>
      <c r="E48" t="s">
        <v>215</v>
      </c>
      <c r="F48" t="s">
        <v>216</v>
      </c>
      <c r="G48">
        <v>85201</v>
      </c>
      <c r="H48" t="s">
        <v>17</v>
      </c>
    </row>
    <row r="49" spans="1:8" x14ac:dyDescent="0.45">
      <c r="A49">
        <f t="shared" si="0"/>
        <v>48</v>
      </c>
      <c r="B49" t="s">
        <v>164</v>
      </c>
      <c r="C49" t="s">
        <v>165</v>
      </c>
      <c r="E49" t="s">
        <v>166</v>
      </c>
      <c r="F49" t="s">
        <v>167</v>
      </c>
      <c r="G49">
        <v>18000</v>
      </c>
      <c r="H49" t="s">
        <v>168</v>
      </c>
    </row>
    <row r="50" spans="1:8" x14ac:dyDescent="0.45">
      <c r="A50">
        <f t="shared" si="0"/>
        <v>49</v>
      </c>
      <c r="B50" t="s">
        <v>379</v>
      </c>
      <c r="C50" t="s">
        <v>380</v>
      </c>
      <c r="E50" t="s">
        <v>381</v>
      </c>
      <c r="F50" t="s">
        <v>167</v>
      </c>
      <c r="G50">
        <v>3752</v>
      </c>
      <c r="H50" t="s">
        <v>38</v>
      </c>
    </row>
    <row r="51" spans="1:8" x14ac:dyDescent="0.45">
      <c r="A51">
        <f t="shared" si="0"/>
        <v>50</v>
      </c>
      <c r="B51" t="s">
        <v>251</v>
      </c>
      <c r="C51" t="s">
        <v>252</v>
      </c>
      <c r="E51" t="s">
        <v>253</v>
      </c>
      <c r="F51" t="s">
        <v>167</v>
      </c>
      <c r="G51">
        <v>116033</v>
      </c>
      <c r="H51" t="s">
        <v>132</v>
      </c>
    </row>
    <row r="52" spans="1:8" x14ac:dyDescent="0.45">
      <c r="A52">
        <f t="shared" si="0"/>
        <v>51</v>
      </c>
      <c r="B52" t="s">
        <v>152</v>
      </c>
      <c r="C52" t="s">
        <v>153</v>
      </c>
      <c r="E52" t="s">
        <v>131</v>
      </c>
      <c r="F52" t="s">
        <v>131</v>
      </c>
      <c r="G52">
        <v>100029</v>
      </c>
      <c r="H52" t="s">
        <v>132</v>
      </c>
    </row>
    <row r="53" spans="1:8" x14ac:dyDescent="0.45">
      <c r="A53">
        <f t="shared" si="0"/>
        <v>52</v>
      </c>
      <c r="B53" t="s">
        <v>152</v>
      </c>
      <c r="C53" t="s">
        <v>181</v>
      </c>
      <c r="E53" t="s">
        <v>182</v>
      </c>
      <c r="F53" t="s">
        <v>183</v>
      </c>
      <c r="G53">
        <v>610100</v>
      </c>
      <c r="H53" t="s">
        <v>132</v>
      </c>
    </row>
    <row r="54" spans="1:8" x14ac:dyDescent="0.45">
      <c r="A54">
        <f t="shared" si="0"/>
        <v>53</v>
      </c>
      <c r="B54" t="s">
        <v>65</v>
      </c>
      <c r="C54" t="s">
        <v>66</v>
      </c>
      <c r="E54" t="s">
        <v>100</v>
      </c>
      <c r="F54" t="s">
        <v>82</v>
      </c>
      <c r="G54" t="s">
        <v>101</v>
      </c>
      <c r="H54" t="s">
        <v>102</v>
      </c>
    </row>
    <row r="55" spans="1:8" x14ac:dyDescent="0.45">
      <c r="A55">
        <f t="shared" si="0"/>
        <v>54</v>
      </c>
      <c r="B55" t="s">
        <v>279</v>
      </c>
      <c r="C55" t="s">
        <v>280</v>
      </c>
      <c r="E55" t="s">
        <v>281</v>
      </c>
      <c r="F55" t="s">
        <v>237</v>
      </c>
      <c r="G55">
        <v>22042</v>
      </c>
      <c r="H55" t="s">
        <v>17</v>
      </c>
    </row>
    <row r="56" spans="1:8" x14ac:dyDescent="0.45">
      <c r="A56">
        <f t="shared" si="0"/>
        <v>55</v>
      </c>
      <c r="B56" t="s">
        <v>226</v>
      </c>
      <c r="C56" t="s">
        <v>227</v>
      </c>
      <c r="E56" t="s">
        <v>228</v>
      </c>
      <c r="F56" t="s">
        <v>204</v>
      </c>
      <c r="G56" t="s">
        <v>229</v>
      </c>
      <c r="H56" t="s">
        <v>17</v>
      </c>
    </row>
    <row r="57" spans="1:8" x14ac:dyDescent="0.45">
      <c r="A57">
        <f t="shared" si="0"/>
        <v>56</v>
      </c>
      <c r="B57" t="s">
        <v>221</v>
      </c>
      <c r="C57" t="s">
        <v>222</v>
      </c>
      <c r="E57" t="s">
        <v>27</v>
      </c>
      <c r="F57" t="s">
        <v>79</v>
      </c>
      <c r="G57" t="s">
        <v>223</v>
      </c>
      <c r="H57" t="s">
        <v>17</v>
      </c>
    </row>
    <row r="58" spans="1:8" x14ac:dyDescent="0.45">
      <c r="A58">
        <f t="shared" si="0"/>
        <v>57</v>
      </c>
      <c r="B58" t="s">
        <v>348</v>
      </c>
      <c r="C58" t="s">
        <v>349</v>
      </c>
      <c r="E58" t="s">
        <v>350</v>
      </c>
      <c r="F58" t="s">
        <v>113</v>
      </c>
      <c r="G58">
        <v>84119</v>
      </c>
      <c r="H58" t="s">
        <v>17</v>
      </c>
    </row>
    <row r="59" spans="1:8" x14ac:dyDescent="0.45">
      <c r="A59">
        <f t="shared" si="0"/>
        <v>58</v>
      </c>
      <c r="B59" t="s">
        <v>270</v>
      </c>
      <c r="C59" t="s">
        <v>271</v>
      </c>
      <c r="E59" t="s">
        <v>236</v>
      </c>
      <c r="F59" t="s">
        <v>237</v>
      </c>
      <c r="G59">
        <v>22209</v>
      </c>
      <c r="H59" t="s">
        <v>17</v>
      </c>
    </row>
    <row r="60" spans="1:8" x14ac:dyDescent="0.45">
      <c r="A60">
        <f t="shared" si="0"/>
        <v>59</v>
      </c>
      <c r="B60" t="s">
        <v>51</v>
      </c>
      <c r="C60" t="s">
        <v>52</v>
      </c>
      <c r="E60" t="s">
        <v>86</v>
      </c>
      <c r="F60" t="s">
        <v>87</v>
      </c>
      <c r="G60">
        <v>89103</v>
      </c>
      <c r="H60" t="s">
        <v>77</v>
      </c>
    </row>
    <row r="61" spans="1:8" x14ac:dyDescent="0.45">
      <c r="A61">
        <f t="shared" si="0"/>
        <v>60</v>
      </c>
      <c r="B61" t="s">
        <v>154</v>
      </c>
      <c r="C61" t="s">
        <v>155</v>
      </c>
      <c r="E61" t="s">
        <v>156</v>
      </c>
      <c r="F61" t="s">
        <v>82</v>
      </c>
      <c r="G61">
        <v>55362</v>
      </c>
      <c r="H61" t="s">
        <v>157</v>
      </c>
    </row>
    <row r="62" spans="1:8" x14ac:dyDescent="0.45">
      <c r="A62">
        <f t="shared" si="0"/>
        <v>61</v>
      </c>
      <c r="B62" t="s">
        <v>154</v>
      </c>
      <c r="C62" t="s">
        <v>192</v>
      </c>
      <c r="E62" t="s">
        <v>193</v>
      </c>
      <c r="F62" t="s">
        <v>194</v>
      </c>
      <c r="G62" t="s">
        <v>195</v>
      </c>
      <c r="H62" t="s">
        <v>157</v>
      </c>
    </row>
    <row r="63" spans="1:8" x14ac:dyDescent="0.45">
      <c r="A63">
        <f t="shared" si="0"/>
        <v>62</v>
      </c>
      <c r="B63" t="s">
        <v>154</v>
      </c>
      <c r="C63" t="s">
        <v>248</v>
      </c>
      <c r="E63" t="s">
        <v>249</v>
      </c>
      <c r="F63" t="s">
        <v>167</v>
      </c>
      <c r="G63">
        <v>34126</v>
      </c>
      <c r="H63" t="s">
        <v>157</v>
      </c>
    </row>
    <row r="64" spans="1:8" x14ac:dyDescent="0.45">
      <c r="A64">
        <f t="shared" si="0"/>
        <v>63</v>
      </c>
      <c r="B64" t="s">
        <v>154</v>
      </c>
      <c r="C64" t="s">
        <v>359</v>
      </c>
      <c r="E64" t="s">
        <v>360</v>
      </c>
      <c r="F64" t="s">
        <v>361</v>
      </c>
      <c r="G64" t="s">
        <v>362</v>
      </c>
      <c r="H64" t="s">
        <v>157</v>
      </c>
    </row>
    <row r="65" spans="1:8" x14ac:dyDescent="0.45">
      <c r="A65">
        <f t="shared" si="0"/>
        <v>64</v>
      </c>
      <c r="B65" t="s">
        <v>53</v>
      </c>
      <c r="C65" t="s">
        <v>54</v>
      </c>
      <c r="E65" t="s">
        <v>88</v>
      </c>
      <c r="F65" t="s">
        <v>82</v>
      </c>
      <c r="G65">
        <v>31000</v>
      </c>
      <c r="H65" t="s">
        <v>89</v>
      </c>
    </row>
    <row r="66" spans="1:8" x14ac:dyDescent="0.45">
      <c r="A66">
        <f t="shared" si="0"/>
        <v>65</v>
      </c>
      <c r="B66" t="s">
        <v>295</v>
      </c>
      <c r="C66" t="s">
        <v>296</v>
      </c>
      <c r="E66" t="s">
        <v>297</v>
      </c>
      <c r="F66" t="s">
        <v>167</v>
      </c>
      <c r="G66">
        <v>31021</v>
      </c>
      <c r="H66" t="s">
        <v>98</v>
      </c>
    </row>
    <row r="67" spans="1:8" x14ac:dyDescent="0.45">
      <c r="A67">
        <f t="shared" si="0"/>
        <v>66</v>
      </c>
      <c r="B67" t="s">
        <v>275</v>
      </c>
      <c r="C67" t="s">
        <v>276</v>
      </c>
      <c r="E67" t="s">
        <v>277</v>
      </c>
      <c r="F67" t="s">
        <v>278</v>
      </c>
      <c r="G67">
        <v>2451</v>
      </c>
      <c r="H67" t="s">
        <v>17</v>
      </c>
    </row>
    <row r="68" spans="1:8" x14ac:dyDescent="0.45">
      <c r="A68">
        <f t="shared" ref="A68:A95" si="1">A67+1</f>
        <v>67</v>
      </c>
      <c r="B68" t="s">
        <v>46</v>
      </c>
      <c r="C68" t="s">
        <v>47</v>
      </c>
      <c r="E68" t="s">
        <v>20</v>
      </c>
      <c r="F68" t="s">
        <v>80</v>
      </c>
      <c r="G68">
        <v>27025</v>
      </c>
      <c r="H68" t="s">
        <v>77</v>
      </c>
    </row>
    <row r="69" spans="1:8" x14ac:dyDescent="0.45">
      <c r="A69">
        <f t="shared" si="1"/>
        <v>68</v>
      </c>
      <c r="B69" t="s">
        <v>337</v>
      </c>
      <c r="C69" t="s">
        <v>244</v>
      </c>
      <c r="E69" t="s">
        <v>245</v>
      </c>
      <c r="F69" t="s">
        <v>167</v>
      </c>
      <c r="G69">
        <v>40476</v>
      </c>
      <c r="H69" t="s">
        <v>38</v>
      </c>
    </row>
    <row r="70" spans="1:8" x14ac:dyDescent="0.45">
      <c r="A70">
        <f t="shared" si="1"/>
        <v>69</v>
      </c>
      <c r="B70" t="s">
        <v>392</v>
      </c>
      <c r="C70" t="s">
        <v>218</v>
      </c>
      <c r="E70" t="s">
        <v>219</v>
      </c>
      <c r="F70" t="s">
        <v>220</v>
      </c>
      <c r="G70">
        <v>49686</v>
      </c>
      <c r="H70" t="s">
        <v>17</v>
      </c>
    </row>
    <row r="71" spans="1:8" x14ac:dyDescent="0.45">
      <c r="A71">
        <f t="shared" si="1"/>
        <v>70</v>
      </c>
      <c r="B71" t="s">
        <v>160</v>
      </c>
      <c r="C71" t="s">
        <v>161</v>
      </c>
      <c r="E71" t="s">
        <v>162</v>
      </c>
      <c r="F71" t="s">
        <v>163</v>
      </c>
      <c r="G71">
        <v>29345</v>
      </c>
      <c r="H71" t="s">
        <v>38</v>
      </c>
    </row>
    <row r="72" spans="1:8" x14ac:dyDescent="0.45">
      <c r="A72">
        <f t="shared" si="1"/>
        <v>71</v>
      </c>
      <c r="B72" t="s">
        <v>301</v>
      </c>
      <c r="C72" t="s">
        <v>302</v>
      </c>
      <c r="E72" t="s">
        <v>303</v>
      </c>
      <c r="F72" t="s">
        <v>167</v>
      </c>
      <c r="G72" t="s">
        <v>167</v>
      </c>
      <c r="H72" t="s">
        <v>304</v>
      </c>
    </row>
    <row r="73" spans="1:8" x14ac:dyDescent="0.45">
      <c r="A73">
        <f t="shared" si="1"/>
        <v>72</v>
      </c>
      <c r="B73" t="s">
        <v>367</v>
      </c>
      <c r="C73" t="s">
        <v>368</v>
      </c>
      <c r="E73" t="s">
        <v>369</v>
      </c>
      <c r="F73" t="s">
        <v>167</v>
      </c>
      <c r="G73">
        <v>107076</v>
      </c>
      <c r="H73" t="s">
        <v>370</v>
      </c>
    </row>
    <row r="74" spans="1:8" x14ac:dyDescent="0.45">
      <c r="A74">
        <f t="shared" si="1"/>
        <v>73</v>
      </c>
      <c r="B74" t="s">
        <v>67</v>
      </c>
      <c r="C74" t="s">
        <v>158</v>
      </c>
      <c r="E74" t="s">
        <v>103</v>
      </c>
      <c r="F74" t="s">
        <v>159</v>
      </c>
      <c r="G74">
        <v>3602</v>
      </c>
      <c r="H74" t="s">
        <v>104</v>
      </c>
    </row>
    <row r="75" spans="1:8" x14ac:dyDescent="0.45">
      <c r="A75">
        <f t="shared" si="1"/>
        <v>74</v>
      </c>
      <c r="B75" s="2" t="s">
        <v>5</v>
      </c>
      <c r="C75" s="3" t="s">
        <v>25</v>
      </c>
      <c r="E75" s="2" t="s">
        <v>41</v>
      </c>
      <c r="G75">
        <v>72336</v>
      </c>
      <c r="H75" t="s">
        <v>38</v>
      </c>
    </row>
    <row r="76" spans="1:8" x14ac:dyDescent="0.45">
      <c r="A76">
        <f t="shared" si="1"/>
        <v>75</v>
      </c>
      <c r="B76" t="s">
        <v>355</v>
      </c>
      <c r="C76" t="s">
        <v>356</v>
      </c>
      <c r="E76" t="s">
        <v>357</v>
      </c>
      <c r="F76" t="s">
        <v>358</v>
      </c>
      <c r="G76">
        <v>14055</v>
      </c>
      <c r="H76" t="s">
        <v>157</v>
      </c>
    </row>
    <row r="77" spans="1:8" x14ac:dyDescent="0.45">
      <c r="A77">
        <f t="shared" si="1"/>
        <v>76</v>
      </c>
      <c r="B77" t="s">
        <v>265</v>
      </c>
      <c r="C77" t="s">
        <v>266</v>
      </c>
      <c r="E77" t="s">
        <v>249</v>
      </c>
      <c r="F77" t="s">
        <v>167</v>
      </c>
      <c r="G77">
        <v>34054</v>
      </c>
      <c r="H77" t="s">
        <v>157</v>
      </c>
    </row>
    <row r="78" spans="1:8" x14ac:dyDescent="0.45">
      <c r="A78">
        <f t="shared" si="1"/>
        <v>77</v>
      </c>
      <c r="B78" t="s">
        <v>290</v>
      </c>
      <c r="C78" t="s">
        <v>291</v>
      </c>
      <c r="E78" t="s">
        <v>288</v>
      </c>
      <c r="F78" t="s">
        <v>289</v>
      </c>
      <c r="G78">
        <v>75015</v>
      </c>
      <c r="H78" t="s">
        <v>168</v>
      </c>
    </row>
    <row r="79" spans="1:8" x14ac:dyDescent="0.45">
      <c r="A79">
        <f t="shared" si="1"/>
        <v>78</v>
      </c>
      <c r="B79" t="s">
        <v>262</v>
      </c>
      <c r="C79" t="s">
        <v>263</v>
      </c>
      <c r="E79" t="s">
        <v>264</v>
      </c>
      <c r="F79" t="s">
        <v>167</v>
      </c>
      <c r="G79">
        <v>75739</v>
      </c>
      <c r="H79" t="s">
        <v>168</v>
      </c>
    </row>
    <row r="80" spans="1:8" x14ac:dyDescent="0.45">
      <c r="A80">
        <f t="shared" si="1"/>
        <v>79</v>
      </c>
      <c r="B80" t="s">
        <v>69</v>
      </c>
      <c r="C80" t="s">
        <v>70</v>
      </c>
      <c r="E80" t="s">
        <v>105</v>
      </c>
      <c r="F80" t="s">
        <v>82</v>
      </c>
      <c r="G80">
        <v>11120</v>
      </c>
      <c r="H80" t="s">
        <v>37</v>
      </c>
    </row>
    <row r="81" spans="1:8" x14ac:dyDescent="0.45">
      <c r="A81">
        <f t="shared" si="1"/>
        <v>80</v>
      </c>
      <c r="B81" t="s">
        <v>48</v>
      </c>
      <c r="C81" t="s">
        <v>49</v>
      </c>
      <c r="E81" t="s">
        <v>81</v>
      </c>
      <c r="F81" t="s">
        <v>82</v>
      </c>
      <c r="G81" t="s">
        <v>83</v>
      </c>
      <c r="H81" t="s">
        <v>84</v>
      </c>
    </row>
    <row r="82" spans="1:8" x14ac:dyDescent="0.45">
      <c r="A82">
        <f t="shared" si="1"/>
        <v>81</v>
      </c>
      <c r="B82" t="s">
        <v>363</v>
      </c>
      <c r="C82" t="s">
        <v>364</v>
      </c>
      <c r="E82" t="s">
        <v>365</v>
      </c>
      <c r="F82" t="s">
        <v>167</v>
      </c>
      <c r="G82">
        <v>152</v>
      </c>
      <c r="H82" t="s">
        <v>366</v>
      </c>
    </row>
    <row r="83" spans="1:8" x14ac:dyDescent="0.45">
      <c r="A83">
        <f t="shared" si="1"/>
        <v>82</v>
      </c>
      <c r="B83" s="2" t="s">
        <v>6</v>
      </c>
      <c r="C83" s="2" t="s">
        <v>26</v>
      </c>
      <c r="E83" t="s">
        <v>39</v>
      </c>
      <c r="G83">
        <v>39218</v>
      </c>
      <c r="H83" t="s">
        <v>38</v>
      </c>
    </row>
    <row r="84" spans="1:8" x14ac:dyDescent="0.45">
      <c r="A84">
        <f t="shared" si="1"/>
        <v>83</v>
      </c>
      <c r="B84" t="s">
        <v>259</v>
      </c>
      <c r="C84" t="s">
        <v>260</v>
      </c>
      <c r="E84" t="s">
        <v>261</v>
      </c>
      <c r="F84" t="s">
        <v>167</v>
      </c>
      <c r="G84">
        <v>20692</v>
      </c>
      <c r="H84" t="s">
        <v>98</v>
      </c>
    </row>
    <row r="85" spans="1:8" x14ac:dyDescent="0.45">
      <c r="A85">
        <f t="shared" si="1"/>
        <v>84</v>
      </c>
      <c r="B85" t="s">
        <v>341</v>
      </c>
      <c r="C85" t="s">
        <v>342</v>
      </c>
      <c r="E85" t="s">
        <v>343</v>
      </c>
      <c r="F85" t="s">
        <v>167</v>
      </c>
      <c r="G85">
        <v>567710</v>
      </c>
      <c r="H85" t="s">
        <v>343</v>
      </c>
    </row>
    <row r="86" spans="1:8" x14ac:dyDescent="0.45">
      <c r="A86">
        <f t="shared" si="1"/>
        <v>85</v>
      </c>
      <c r="B86" t="s">
        <v>322</v>
      </c>
      <c r="C86" t="s">
        <v>323</v>
      </c>
      <c r="E86" t="s">
        <v>269</v>
      </c>
      <c r="F86" t="s">
        <v>324</v>
      </c>
      <c r="G86">
        <v>88662</v>
      </c>
      <c r="H86" t="s">
        <v>38</v>
      </c>
    </row>
    <row r="87" spans="1:8" x14ac:dyDescent="0.45">
      <c r="A87">
        <f t="shared" si="1"/>
        <v>86</v>
      </c>
      <c r="B87" t="s">
        <v>292</v>
      </c>
      <c r="C87" t="s">
        <v>293</v>
      </c>
      <c r="E87" t="s">
        <v>294</v>
      </c>
      <c r="F87" t="s">
        <v>289</v>
      </c>
      <c r="G87">
        <v>92200</v>
      </c>
      <c r="H87" t="s">
        <v>168</v>
      </c>
    </row>
    <row r="88" spans="1:8" x14ac:dyDescent="0.45">
      <c r="A88">
        <f t="shared" si="1"/>
        <v>87</v>
      </c>
      <c r="B88" t="s">
        <v>71</v>
      </c>
      <c r="C88" t="s">
        <v>72</v>
      </c>
      <c r="E88" t="s">
        <v>106</v>
      </c>
      <c r="F88" t="s">
        <v>107</v>
      </c>
      <c r="G88">
        <v>84606</v>
      </c>
      <c r="H88" t="s">
        <v>77</v>
      </c>
    </row>
    <row r="89" spans="1:8" x14ac:dyDescent="0.45">
      <c r="A89">
        <f t="shared" si="1"/>
        <v>88</v>
      </c>
      <c r="B89" t="s">
        <v>325</v>
      </c>
      <c r="C89" t="s">
        <v>326</v>
      </c>
      <c r="E89" t="s">
        <v>327</v>
      </c>
      <c r="F89" t="s">
        <v>167</v>
      </c>
      <c r="G89">
        <v>1601</v>
      </c>
      <c r="H89" t="s">
        <v>328</v>
      </c>
    </row>
    <row r="90" spans="1:8" x14ac:dyDescent="0.45">
      <c r="A90">
        <f t="shared" si="1"/>
        <v>89</v>
      </c>
      <c r="B90" t="s">
        <v>45</v>
      </c>
      <c r="C90" t="s">
        <v>21</v>
      </c>
      <c r="E90" t="s">
        <v>27</v>
      </c>
      <c r="F90" t="s">
        <v>79</v>
      </c>
      <c r="G90">
        <v>62024</v>
      </c>
      <c r="H90" t="s">
        <v>77</v>
      </c>
    </row>
    <row r="91" spans="1:8" x14ac:dyDescent="0.45">
      <c r="A91">
        <f t="shared" si="1"/>
        <v>90</v>
      </c>
      <c r="B91" t="s">
        <v>55</v>
      </c>
      <c r="C91" t="s">
        <v>56</v>
      </c>
      <c r="E91" t="s">
        <v>90</v>
      </c>
      <c r="F91" t="s">
        <v>91</v>
      </c>
      <c r="G91">
        <v>97224</v>
      </c>
      <c r="H91" t="s">
        <v>77</v>
      </c>
    </row>
    <row r="92" spans="1:8" x14ac:dyDescent="0.45">
      <c r="A92">
        <f t="shared" si="1"/>
        <v>91</v>
      </c>
      <c r="B92" t="s">
        <v>256</v>
      </c>
      <c r="C92" t="s">
        <v>257</v>
      </c>
      <c r="E92" t="s">
        <v>258</v>
      </c>
      <c r="F92" t="s">
        <v>167</v>
      </c>
      <c r="G92">
        <v>11070</v>
      </c>
      <c r="H92" t="s">
        <v>89</v>
      </c>
    </row>
    <row r="93" spans="1:8" x14ac:dyDescent="0.45">
      <c r="A93">
        <f t="shared" si="1"/>
        <v>92</v>
      </c>
      <c r="B93" t="s">
        <v>175</v>
      </c>
      <c r="C93" t="s">
        <v>176</v>
      </c>
      <c r="E93" t="s">
        <v>177</v>
      </c>
      <c r="F93" t="s">
        <v>178</v>
      </c>
      <c r="G93" t="s">
        <v>179</v>
      </c>
      <c r="H93" t="s">
        <v>180</v>
      </c>
    </row>
    <row r="94" spans="1:8" x14ac:dyDescent="0.45">
      <c r="A94">
        <f t="shared" si="1"/>
        <v>93</v>
      </c>
      <c r="B94" t="s">
        <v>375</v>
      </c>
      <c r="C94" t="s">
        <v>376</v>
      </c>
      <c r="E94" t="s">
        <v>377</v>
      </c>
      <c r="F94" t="s">
        <v>378</v>
      </c>
      <c r="G94">
        <v>426000</v>
      </c>
      <c r="H94" t="s">
        <v>370</v>
      </c>
    </row>
    <row r="95" spans="1:8" x14ac:dyDescent="0.45">
      <c r="A95">
        <f t="shared" si="1"/>
        <v>94</v>
      </c>
      <c r="B95" t="s">
        <v>73</v>
      </c>
      <c r="C95" t="s">
        <v>74</v>
      </c>
      <c r="E95" t="s">
        <v>108</v>
      </c>
      <c r="F95" t="s">
        <v>109</v>
      </c>
      <c r="G95">
        <v>21114</v>
      </c>
      <c r="H95" t="s">
        <v>77</v>
      </c>
    </row>
  </sheetData>
  <autoFilter ref="A1:H6" xr:uid="{380BACF5-150A-4DE3-A53E-2948CE4D8C54}">
    <sortState xmlns:xlrd2="http://schemas.microsoft.com/office/spreadsheetml/2017/richdata2" ref="A2:H109">
      <sortCondition ref="B1:B6"/>
    </sortState>
  </autoFilter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0E27-43D3-4000-8CAC-3594FC54493E}">
  <dimension ref="A1:F106"/>
  <sheetViews>
    <sheetView topLeftCell="A86" workbookViewId="0">
      <selection activeCell="C87" sqref="C87:F106"/>
    </sheetView>
  </sheetViews>
  <sheetFormatPr defaultRowHeight="14.25" x14ac:dyDescent="0.45"/>
  <sheetData>
    <row r="1" spans="1:6" x14ac:dyDescent="0.45">
      <c r="A1" t="s">
        <v>42</v>
      </c>
      <c r="B1" t="s">
        <v>43</v>
      </c>
      <c r="C1" t="s">
        <v>75</v>
      </c>
      <c r="D1" t="s">
        <v>76</v>
      </c>
      <c r="E1">
        <v>55303</v>
      </c>
      <c r="F1" t="s">
        <v>77</v>
      </c>
    </row>
    <row r="2" spans="1:6" x14ac:dyDescent="0.45">
      <c r="A2" t="s">
        <v>44</v>
      </c>
      <c r="B2" t="s">
        <v>18</v>
      </c>
      <c r="C2" t="s">
        <v>19</v>
      </c>
      <c r="D2" t="s">
        <v>78</v>
      </c>
      <c r="E2">
        <v>68803</v>
      </c>
      <c r="F2" t="s">
        <v>77</v>
      </c>
    </row>
    <row r="3" spans="1:6" x14ac:dyDescent="0.45">
      <c r="A3" t="s">
        <v>45</v>
      </c>
      <c r="B3" t="s">
        <v>21</v>
      </c>
      <c r="C3" t="s">
        <v>27</v>
      </c>
      <c r="D3" t="s">
        <v>79</v>
      </c>
      <c r="E3">
        <v>62024</v>
      </c>
      <c r="F3" t="s">
        <v>77</v>
      </c>
    </row>
    <row r="4" spans="1:6" x14ac:dyDescent="0.45">
      <c r="A4" t="s">
        <v>46</v>
      </c>
      <c r="B4" t="s">
        <v>47</v>
      </c>
      <c r="C4" t="s">
        <v>20</v>
      </c>
      <c r="D4" t="s">
        <v>80</v>
      </c>
      <c r="E4">
        <v>27025</v>
      </c>
      <c r="F4" t="s">
        <v>77</v>
      </c>
    </row>
    <row r="5" spans="1:6" x14ac:dyDescent="0.45">
      <c r="A5" t="s">
        <v>48</v>
      </c>
      <c r="B5" t="s">
        <v>49</v>
      </c>
      <c r="C5" t="s">
        <v>81</v>
      </c>
      <c r="D5" t="s">
        <v>82</v>
      </c>
      <c r="E5" t="s">
        <v>83</v>
      </c>
      <c r="F5" t="s">
        <v>84</v>
      </c>
    </row>
    <row r="6" spans="1:6" x14ac:dyDescent="0.45">
      <c r="A6" t="s">
        <v>4</v>
      </c>
      <c r="B6" t="s">
        <v>50</v>
      </c>
      <c r="C6" t="s">
        <v>85</v>
      </c>
      <c r="D6" t="s">
        <v>82</v>
      </c>
      <c r="E6">
        <v>41330</v>
      </c>
      <c r="F6" t="s">
        <v>37</v>
      </c>
    </row>
    <row r="7" spans="1:6" x14ac:dyDescent="0.45">
      <c r="A7" t="s">
        <v>51</v>
      </c>
      <c r="B7" t="s">
        <v>52</v>
      </c>
      <c r="C7" t="s">
        <v>86</v>
      </c>
      <c r="D7" t="s">
        <v>87</v>
      </c>
      <c r="E7">
        <v>89103</v>
      </c>
      <c r="F7" t="s">
        <v>77</v>
      </c>
    </row>
    <row r="8" spans="1:6" x14ac:dyDescent="0.45">
      <c r="A8" t="s">
        <v>53</v>
      </c>
      <c r="B8" t="s">
        <v>54</v>
      </c>
      <c r="C8" t="s">
        <v>88</v>
      </c>
      <c r="D8" t="s">
        <v>82</v>
      </c>
      <c r="E8">
        <v>31000</v>
      </c>
      <c r="F8" t="s">
        <v>89</v>
      </c>
    </row>
    <row r="9" spans="1:6" x14ac:dyDescent="0.45">
      <c r="A9" t="s">
        <v>55</v>
      </c>
      <c r="B9" t="s">
        <v>56</v>
      </c>
      <c r="C9" t="s">
        <v>90</v>
      </c>
      <c r="D9" t="s">
        <v>91</v>
      </c>
      <c r="E9">
        <v>97224</v>
      </c>
      <c r="F9" t="s">
        <v>77</v>
      </c>
    </row>
    <row r="10" spans="1:6" x14ac:dyDescent="0.45">
      <c r="A10" t="s">
        <v>57</v>
      </c>
      <c r="B10" t="s">
        <v>58</v>
      </c>
      <c r="C10" t="s">
        <v>92</v>
      </c>
      <c r="D10" t="s">
        <v>93</v>
      </c>
      <c r="E10">
        <v>62250</v>
      </c>
      <c r="F10" t="s">
        <v>31</v>
      </c>
    </row>
    <row r="11" spans="1:6" x14ac:dyDescent="0.45">
      <c r="A11" t="s">
        <v>59</v>
      </c>
      <c r="B11" t="s">
        <v>60</v>
      </c>
      <c r="C11" t="s">
        <v>94</v>
      </c>
      <c r="D11" t="s">
        <v>82</v>
      </c>
      <c r="E11" t="s">
        <v>95</v>
      </c>
      <c r="F11" t="s">
        <v>96</v>
      </c>
    </row>
    <row r="12" spans="1:6" x14ac:dyDescent="0.45">
      <c r="A12" t="s">
        <v>61</v>
      </c>
      <c r="B12" t="s">
        <v>62</v>
      </c>
      <c r="C12" t="s">
        <v>97</v>
      </c>
      <c r="D12" t="s">
        <v>82</v>
      </c>
      <c r="E12">
        <v>4721325</v>
      </c>
      <c r="F12" t="s">
        <v>98</v>
      </c>
    </row>
    <row r="13" spans="1:6" x14ac:dyDescent="0.45">
      <c r="A13" t="s">
        <v>63</v>
      </c>
      <c r="B13" t="s">
        <v>64</v>
      </c>
      <c r="C13" t="s">
        <v>99</v>
      </c>
      <c r="D13" t="s">
        <v>82</v>
      </c>
      <c r="E13">
        <v>56377</v>
      </c>
      <c r="F13" t="s">
        <v>38</v>
      </c>
    </row>
    <row r="14" spans="1:6" x14ac:dyDescent="0.45">
      <c r="A14" t="s">
        <v>65</v>
      </c>
      <c r="B14" t="s">
        <v>66</v>
      </c>
      <c r="C14" t="s">
        <v>100</v>
      </c>
      <c r="D14" t="s">
        <v>82</v>
      </c>
      <c r="E14" t="s">
        <v>101</v>
      </c>
      <c r="F14" t="s">
        <v>102</v>
      </c>
    </row>
    <row r="15" spans="1:6" x14ac:dyDescent="0.45">
      <c r="A15" t="s">
        <v>67</v>
      </c>
      <c r="B15" t="s">
        <v>68</v>
      </c>
      <c r="C15" t="s">
        <v>103</v>
      </c>
      <c r="D15" t="s">
        <v>82</v>
      </c>
      <c r="E15">
        <v>3602</v>
      </c>
      <c r="F15" t="s">
        <v>104</v>
      </c>
    </row>
    <row r="16" spans="1:6" x14ac:dyDescent="0.45">
      <c r="A16" t="s">
        <v>69</v>
      </c>
      <c r="B16" t="s">
        <v>70</v>
      </c>
      <c r="C16" t="s">
        <v>105</v>
      </c>
      <c r="D16" t="s">
        <v>82</v>
      </c>
      <c r="E16">
        <v>11120</v>
      </c>
      <c r="F16" t="s">
        <v>37</v>
      </c>
    </row>
    <row r="17" spans="1:6" x14ac:dyDescent="0.45">
      <c r="A17" t="s">
        <v>71</v>
      </c>
      <c r="B17" t="s">
        <v>72</v>
      </c>
      <c r="C17" t="s">
        <v>106</v>
      </c>
      <c r="D17" t="s">
        <v>107</v>
      </c>
      <c r="E17">
        <v>84606</v>
      </c>
      <c r="F17" t="s">
        <v>77</v>
      </c>
    </row>
    <row r="18" spans="1:6" x14ac:dyDescent="0.45">
      <c r="A18" t="s">
        <v>73</v>
      </c>
      <c r="B18" t="s">
        <v>74</v>
      </c>
      <c r="C18" t="s">
        <v>108</v>
      </c>
      <c r="D18" t="s">
        <v>109</v>
      </c>
      <c r="E18">
        <v>21114</v>
      </c>
      <c r="F18" t="s">
        <v>77</v>
      </c>
    </row>
    <row r="19" spans="1:6" x14ac:dyDescent="0.45">
      <c r="A19" t="s">
        <v>110</v>
      </c>
      <c r="B19" t="s">
        <v>111</v>
      </c>
      <c r="C19" t="s">
        <v>112</v>
      </c>
      <c r="D19" t="s">
        <v>113</v>
      </c>
      <c r="E19">
        <v>84645</v>
      </c>
      <c r="F19" t="s">
        <v>17</v>
      </c>
    </row>
    <row r="20" spans="1:6" x14ac:dyDescent="0.45">
      <c r="A20" t="s">
        <v>114</v>
      </c>
      <c r="B20" t="s">
        <v>115</v>
      </c>
      <c r="C20" t="s">
        <v>116</v>
      </c>
      <c r="D20" t="s">
        <v>117</v>
      </c>
      <c r="E20">
        <v>63126</v>
      </c>
      <c r="F20" t="s">
        <v>17</v>
      </c>
    </row>
    <row r="21" spans="1:6" x14ac:dyDescent="0.4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</row>
    <row r="22" spans="1:6" x14ac:dyDescent="0.45">
      <c r="A22" t="s">
        <v>124</v>
      </c>
      <c r="B22" t="s">
        <v>125</v>
      </c>
      <c r="C22" t="s">
        <v>126</v>
      </c>
      <c r="D22" t="s">
        <v>127</v>
      </c>
      <c r="E22">
        <v>2101</v>
      </c>
      <c r="F22" t="s">
        <v>128</v>
      </c>
    </row>
    <row r="23" spans="1:6" x14ac:dyDescent="0.45">
      <c r="A23" t="s">
        <v>129</v>
      </c>
      <c r="B23" t="s">
        <v>130</v>
      </c>
      <c r="C23" t="s">
        <v>131</v>
      </c>
      <c r="D23" t="s">
        <v>131</v>
      </c>
      <c r="E23">
        <v>100089</v>
      </c>
      <c r="F23" t="s">
        <v>132</v>
      </c>
    </row>
    <row r="24" spans="1:6" x14ac:dyDescent="0.45">
      <c r="A24" t="s">
        <v>133</v>
      </c>
      <c r="B24" t="s">
        <v>134</v>
      </c>
      <c r="C24" t="s">
        <v>135</v>
      </c>
      <c r="D24" t="s">
        <v>136</v>
      </c>
      <c r="E24">
        <v>1619</v>
      </c>
      <c r="F24" t="s">
        <v>137</v>
      </c>
    </row>
    <row r="25" spans="1:6" x14ac:dyDescent="0.45">
      <c r="A25" t="s">
        <v>138</v>
      </c>
      <c r="B25" t="s">
        <v>139</v>
      </c>
      <c r="C25" t="s">
        <v>140</v>
      </c>
      <c r="D25" t="s">
        <v>141</v>
      </c>
      <c r="E25">
        <v>4040</v>
      </c>
      <c r="F25" t="s">
        <v>142</v>
      </c>
    </row>
    <row r="26" spans="1:6" x14ac:dyDescent="0.45">
      <c r="A26" t="s">
        <v>143</v>
      </c>
      <c r="B26" t="s">
        <v>144</v>
      </c>
      <c r="C26" t="s">
        <v>145</v>
      </c>
      <c r="D26" t="s">
        <v>82</v>
      </c>
      <c r="E26">
        <v>2552</v>
      </c>
      <c r="F26" t="s">
        <v>146</v>
      </c>
    </row>
    <row r="27" spans="1:6" x14ac:dyDescent="0.45">
      <c r="A27" t="s">
        <v>147</v>
      </c>
      <c r="B27" t="s">
        <v>148</v>
      </c>
      <c r="C27" t="s">
        <v>149</v>
      </c>
      <c r="D27" t="s">
        <v>150</v>
      </c>
      <c r="E27">
        <v>2830</v>
      </c>
      <c r="F27" t="s">
        <v>151</v>
      </c>
    </row>
    <row r="28" spans="1:6" x14ac:dyDescent="0.45">
      <c r="A28" t="s">
        <v>152</v>
      </c>
      <c r="B28" t="s">
        <v>153</v>
      </c>
      <c r="C28" t="s">
        <v>131</v>
      </c>
      <c r="D28" t="s">
        <v>131</v>
      </c>
      <c r="E28">
        <v>100029</v>
      </c>
      <c r="F28" t="s">
        <v>132</v>
      </c>
    </row>
    <row r="29" spans="1:6" x14ac:dyDescent="0.45">
      <c r="A29" t="s">
        <v>154</v>
      </c>
      <c r="B29" t="s">
        <v>155</v>
      </c>
      <c r="C29" t="s">
        <v>156</v>
      </c>
      <c r="D29" t="s">
        <v>82</v>
      </c>
      <c r="E29">
        <v>55362</v>
      </c>
      <c r="F29" t="s">
        <v>157</v>
      </c>
    </row>
    <row r="30" spans="1:6" x14ac:dyDescent="0.45">
      <c r="A30" t="s">
        <v>67</v>
      </c>
      <c r="B30" t="s">
        <v>158</v>
      </c>
      <c r="C30" t="s">
        <v>103</v>
      </c>
      <c r="D30" t="s">
        <v>159</v>
      </c>
      <c r="E30">
        <v>3602</v>
      </c>
      <c r="F30" t="s">
        <v>104</v>
      </c>
    </row>
    <row r="31" spans="1:6" x14ac:dyDescent="0.45">
      <c r="A31" t="s">
        <v>160</v>
      </c>
      <c r="B31" t="s">
        <v>161</v>
      </c>
      <c r="C31" t="s">
        <v>162</v>
      </c>
      <c r="D31" t="s">
        <v>163</v>
      </c>
      <c r="E31">
        <v>29345</v>
      </c>
      <c r="F31" t="s">
        <v>38</v>
      </c>
    </row>
    <row r="32" spans="1:6" x14ac:dyDescent="0.45">
      <c r="A32" t="s">
        <v>164</v>
      </c>
      <c r="B32" t="s">
        <v>165</v>
      </c>
      <c r="C32" t="s">
        <v>166</v>
      </c>
      <c r="D32" t="s">
        <v>167</v>
      </c>
      <c r="E32">
        <v>18000</v>
      </c>
      <c r="F32" t="s">
        <v>168</v>
      </c>
    </row>
    <row r="33" spans="1:6" x14ac:dyDescent="0.45">
      <c r="A33" t="s">
        <v>169</v>
      </c>
      <c r="B33" t="s">
        <v>170</v>
      </c>
      <c r="C33" t="s">
        <v>149</v>
      </c>
      <c r="D33" t="s">
        <v>167</v>
      </c>
      <c r="E33">
        <v>2830</v>
      </c>
      <c r="F33" t="s">
        <v>151</v>
      </c>
    </row>
    <row r="34" spans="1:6" x14ac:dyDescent="0.45">
      <c r="A34" t="s">
        <v>171</v>
      </c>
      <c r="B34" t="s">
        <v>172</v>
      </c>
      <c r="C34" t="s">
        <v>173</v>
      </c>
      <c r="D34" t="s">
        <v>167</v>
      </c>
      <c r="E34">
        <v>6100</v>
      </c>
      <c r="F34" t="s">
        <v>174</v>
      </c>
    </row>
    <row r="35" spans="1:6" x14ac:dyDescent="0.4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180</v>
      </c>
    </row>
    <row r="36" spans="1:6" x14ac:dyDescent="0.45">
      <c r="A36" t="s">
        <v>152</v>
      </c>
      <c r="B36" t="s">
        <v>181</v>
      </c>
      <c r="C36" t="s">
        <v>182</v>
      </c>
      <c r="D36" t="s">
        <v>183</v>
      </c>
      <c r="E36">
        <v>610100</v>
      </c>
      <c r="F36" t="s">
        <v>132</v>
      </c>
    </row>
    <row r="37" spans="1:6" x14ac:dyDescent="0.45">
      <c r="A37" t="s">
        <v>184</v>
      </c>
      <c r="B37" t="s">
        <v>185</v>
      </c>
      <c r="C37" t="s">
        <v>186</v>
      </c>
      <c r="D37" t="s">
        <v>167</v>
      </c>
      <c r="E37">
        <v>47100</v>
      </c>
      <c r="F37" t="s">
        <v>98</v>
      </c>
    </row>
    <row r="38" spans="1:6" x14ac:dyDescent="0.45">
      <c r="A38" t="s">
        <v>133</v>
      </c>
      <c r="B38" t="s">
        <v>187</v>
      </c>
      <c r="C38" t="s">
        <v>135</v>
      </c>
      <c r="D38" t="s">
        <v>136</v>
      </c>
      <c r="E38">
        <v>1619</v>
      </c>
      <c r="F38" t="s">
        <v>137</v>
      </c>
    </row>
    <row r="39" spans="1:6" x14ac:dyDescent="0.45">
      <c r="A39" t="s">
        <v>188</v>
      </c>
      <c r="B39" t="s">
        <v>189</v>
      </c>
      <c r="C39" t="s">
        <v>190</v>
      </c>
      <c r="D39" t="s">
        <v>167</v>
      </c>
      <c r="E39">
        <v>28802</v>
      </c>
      <c r="F39" t="s">
        <v>191</v>
      </c>
    </row>
    <row r="40" spans="1:6" x14ac:dyDescent="0.45">
      <c r="A40" t="s">
        <v>154</v>
      </c>
      <c r="B40" t="s">
        <v>192</v>
      </c>
      <c r="C40" t="s">
        <v>193</v>
      </c>
      <c r="D40" t="s">
        <v>194</v>
      </c>
      <c r="E40" t="s">
        <v>195</v>
      </c>
      <c r="F40" t="s">
        <v>157</v>
      </c>
    </row>
    <row r="41" spans="1:6" x14ac:dyDescent="0.45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17</v>
      </c>
    </row>
    <row r="42" spans="1:6" x14ac:dyDescent="0.45">
      <c r="A42" t="s">
        <v>201</v>
      </c>
      <c r="B42" t="s">
        <v>202</v>
      </c>
      <c r="C42" t="s">
        <v>203</v>
      </c>
      <c r="D42" t="s">
        <v>204</v>
      </c>
      <c r="E42">
        <v>64056</v>
      </c>
      <c r="F42" t="s">
        <v>17</v>
      </c>
    </row>
    <row r="43" spans="1:6" x14ac:dyDescent="0.45">
      <c r="A43" t="s">
        <v>205</v>
      </c>
      <c r="B43" t="s">
        <v>206</v>
      </c>
      <c r="C43" t="s">
        <v>207</v>
      </c>
      <c r="D43" t="s">
        <v>76</v>
      </c>
      <c r="E43" t="s">
        <v>208</v>
      </c>
      <c r="F43" t="s">
        <v>17</v>
      </c>
    </row>
    <row r="44" spans="1:6" x14ac:dyDescent="0.45">
      <c r="A44" t="s">
        <v>209</v>
      </c>
      <c r="B44" t="s">
        <v>210</v>
      </c>
      <c r="C44" t="s">
        <v>211</v>
      </c>
      <c r="D44" t="s">
        <v>212</v>
      </c>
      <c r="E44">
        <v>52638</v>
      </c>
      <c r="F44" t="s">
        <v>17</v>
      </c>
    </row>
    <row r="45" spans="1:6" x14ac:dyDescent="0.45">
      <c r="A45" t="s">
        <v>213</v>
      </c>
      <c r="B45" t="s">
        <v>214</v>
      </c>
      <c r="C45" t="s">
        <v>215</v>
      </c>
      <c r="D45" t="s">
        <v>216</v>
      </c>
      <c r="E45">
        <v>85201</v>
      </c>
      <c r="F45" t="s">
        <v>17</v>
      </c>
    </row>
    <row r="46" spans="1:6" x14ac:dyDescent="0.45">
      <c r="A46" t="s">
        <v>217</v>
      </c>
      <c r="B46" t="s">
        <v>218</v>
      </c>
      <c r="C46" t="s">
        <v>219</v>
      </c>
      <c r="D46" t="s">
        <v>220</v>
      </c>
      <c r="E46">
        <v>49686</v>
      </c>
      <c r="F46" t="s">
        <v>17</v>
      </c>
    </row>
    <row r="47" spans="1:6" x14ac:dyDescent="0.45">
      <c r="A47" t="s">
        <v>221</v>
      </c>
      <c r="B47" t="s">
        <v>222</v>
      </c>
      <c r="C47" t="s">
        <v>27</v>
      </c>
      <c r="D47" t="s">
        <v>79</v>
      </c>
      <c r="E47" t="s">
        <v>223</v>
      </c>
      <c r="F47" t="s">
        <v>17</v>
      </c>
    </row>
    <row r="48" spans="1:6" x14ac:dyDescent="0.45">
      <c r="A48" t="s">
        <v>224</v>
      </c>
      <c r="B48" t="s">
        <v>225</v>
      </c>
      <c r="C48" t="s">
        <v>75</v>
      </c>
      <c r="D48" t="s">
        <v>76</v>
      </c>
      <c r="E48">
        <v>55303</v>
      </c>
      <c r="F48" t="s">
        <v>17</v>
      </c>
    </row>
    <row r="49" spans="1:6" x14ac:dyDescent="0.45">
      <c r="A49" t="s">
        <v>226</v>
      </c>
      <c r="B49" t="s">
        <v>227</v>
      </c>
      <c r="C49" t="s">
        <v>228</v>
      </c>
      <c r="D49" t="s">
        <v>204</v>
      </c>
      <c r="E49" t="s">
        <v>229</v>
      </c>
      <c r="F49" t="s">
        <v>17</v>
      </c>
    </row>
    <row r="50" spans="1:6" x14ac:dyDescent="0.45">
      <c r="A50" t="s">
        <v>230</v>
      </c>
      <c r="B50" t="s">
        <v>231</v>
      </c>
      <c r="C50" t="s">
        <v>232</v>
      </c>
      <c r="D50" t="s">
        <v>79</v>
      </c>
      <c r="E50" t="s">
        <v>233</v>
      </c>
      <c r="F50" t="s">
        <v>17</v>
      </c>
    </row>
    <row r="51" spans="1:6" x14ac:dyDescent="0.45">
      <c r="A51" t="s">
        <v>234</v>
      </c>
      <c r="B51" t="s">
        <v>235</v>
      </c>
      <c r="C51" t="s">
        <v>236</v>
      </c>
      <c r="D51" t="s">
        <v>237</v>
      </c>
      <c r="E51">
        <v>22209</v>
      </c>
      <c r="F51" t="s">
        <v>17</v>
      </c>
    </row>
    <row r="52" spans="1:6" x14ac:dyDescent="0.45">
      <c r="A52" t="s">
        <v>238</v>
      </c>
      <c r="B52" t="s">
        <v>239</v>
      </c>
      <c r="C52" t="s">
        <v>149</v>
      </c>
      <c r="D52" t="s">
        <v>167</v>
      </c>
      <c r="E52">
        <v>2831</v>
      </c>
      <c r="F52" t="s">
        <v>151</v>
      </c>
    </row>
    <row r="53" spans="1:6" x14ac:dyDescent="0.45">
      <c r="A53" t="s">
        <v>196</v>
      </c>
      <c r="B53" t="s">
        <v>240</v>
      </c>
      <c r="C53" t="s">
        <v>198</v>
      </c>
      <c r="D53" t="s">
        <v>199</v>
      </c>
      <c r="E53">
        <v>33716</v>
      </c>
      <c r="F53" t="s">
        <v>17</v>
      </c>
    </row>
    <row r="54" spans="1:6" x14ac:dyDescent="0.45">
      <c r="A54" t="s">
        <v>164</v>
      </c>
      <c r="B54" t="s">
        <v>241</v>
      </c>
      <c r="C54" t="s">
        <v>242</v>
      </c>
      <c r="D54" t="s">
        <v>167</v>
      </c>
      <c r="E54">
        <v>35031</v>
      </c>
      <c r="F54" t="s">
        <v>168</v>
      </c>
    </row>
    <row r="55" spans="1:6" x14ac:dyDescent="0.45">
      <c r="A55" t="s">
        <v>243</v>
      </c>
      <c r="B55" t="s">
        <v>244</v>
      </c>
      <c r="C55" t="s">
        <v>245</v>
      </c>
      <c r="D55" t="s">
        <v>167</v>
      </c>
      <c r="E55">
        <v>40476</v>
      </c>
      <c r="F55" t="s">
        <v>38</v>
      </c>
    </row>
    <row r="56" spans="1:6" x14ac:dyDescent="0.45">
      <c r="A56" t="s">
        <v>246</v>
      </c>
      <c r="B56" t="s">
        <v>247</v>
      </c>
      <c r="C56" t="s">
        <v>97</v>
      </c>
      <c r="D56" t="s">
        <v>167</v>
      </c>
      <c r="E56">
        <v>4710401</v>
      </c>
      <c r="F56" t="s">
        <v>98</v>
      </c>
    </row>
    <row r="57" spans="1:6" x14ac:dyDescent="0.45">
      <c r="A57" t="s">
        <v>154</v>
      </c>
      <c r="B57" t="s">
        <v>248</v>
      </c>
      <c r="C57" t="s">
        <v>249</v>
      </c>
      <c r="D57" t="s">
        <v>167</v>
      </c>
      <c r="E57">
        <v>34126</v>
      </c>
      <c r="F57" t="s">
        <v>157</v>
      </c>
    </row>
    <row r="58" spans="1:6" x14ac:dyDescent="0.45">
      <c r="A58" t="s">
        <v>171</v>
      </c>
      <c r="B58" t="s">
        <v>250</v>
      </c>
      <c r="C58" t="s">
        <v>173</v>
      </c>
      <c r="D58" t="s">
        <v>167</v>
      </c>
      <c r="E58">
        <v>6100</v>
      </c>
      <c r="F58" t="s">
        <v>174</v>
      </c>
    </row>
    <row r="59" spans="1:6" x14ac:dyDescent="0.45">
      <c r="A59" t="s">
        <v>251</v>
      </c>
      <c r="B59" t="s">
        <v>252</v>
      </c>
      <c r="C59" t="s">
        <v>253</v>
      </c>
      <c r="D59" t="s">
        <v>167</v>
      </c>
      <c r="E59">
        <v>116033</v>
      </c>
      <c r="F59" t="s">
        <v>132</v>
      </c>
    </row>
    <row r="60" spans="1:6" x14ac:dyDescent="0.45">
      <c r="A60" t="s">
        <v>129</v>
      </c>
      <c r="B60" t="s">
        <v>254</v>
      </c>
      <c r="C60" t="s">
        <v>255</v>
      </c>
      <c r="D60" t="s">
        <v>167</v>
      </c>
      <c r="E60">
        <v>210011</v>
      </c>
      <c r="F60" t="s">
        <v>132</v>
      </c>
    </row>
    <row r="61" spans="1:6" x14ac:dyDescent="0.45">
      <c r="A61" t="s">
        <v>256</v>
      </c>
      <c r="B61" t="s">
        <v>257</v>
      </c>
      <c r="C61" t="s">
        <v>258</v>
      </c>
      <c r="D61" t="s">
        <v>167</v>
      </c>
      <c r="E61">
        <v>11070</v>
      </c>
      <c r="F61" t="s">
        <v>89</v>
      </c>
    </row>
    <row r="62" spans="1:6" x14ac:dyDescent="0.45">
      <c r="A62" t="s">
        <v>259</v>
      </c>
      <c r="B62" t="s">
        <v>260</v>
      </c>
      <c r="C62" t="s">
        <v>261</v>
      </c>
      <c r="D62" t="s">
        <v>167</v>
      </c>
      <c r="E62">
        <v>20692</v>
      </c>
      <c r="F62" t="s">
        <v>98</v>
      </c>
    </row>
    <row r="63" spans="1:6" x14ac:dyDescent="0.45">
      <c r="A63" t="s">
        <v>262</v>
      </c>
      <c r="B63" t="s">
        <v>263</v>
      </c>
      <c r="C63" t="s">
        <v>264</v>
      </c>
      <c r="D63" t="s">
        <v>167</v>
      </c>
      <c r="E63">
        <v>75739</v>
      </c>
      <c r="F63" t="s">
        <v>168</v>
      </c>
    </row>
    <row r="64" spans="1:6" x14ac:dyDescent="0.45">
      <c r="A64" t="s">
        <v>265</v>
      </c>
      <c r="B64" t="s">
        <v>266</v>
      </c>
      <c r="C64" t="s">
        <v>249</v>
      </c>
      <c r="D64" t="s">
        <v>167</v>
      </c>
      <c r="E64">
        <v>34054</v>
      </c>
      <c r="F64" t="s">
        <v>157</v>
      </c>
    </row>
    <row r="65" spans="1:6" x14ac:dyDescent="0.45">
      <c r="A65" t="s">
        <v>267</v>
      </c>
      <c r="B65" t="s">
        <v>268</v>
      </c>
      <c r="C65" t="s">
        <v>269</v>
      </c>
      <c r="D65" t="s">
        <v>167</v>
      </c>
      <c r="E65">
        <v>88662</v>
      </c>
      <c r="F65" t="s">
        <v>38</v>
      </c>
    </row>
    <row r="66" spans="1:6" x14ac:dyDescent="0.45">
      <c r="A66" t="s">
        <v>270</v>
      </c>
      <c r="B66" t="s">
        <v>271</v>
      </c>
      <c r="C66" t="s">
        <v>236</v>
      </c>
      <c r="D66" t="s">
        <v>237</v>
      </c>
      <c r="E66">
        <v>22209</v>
      </c>
      <c r="F66" t="s">
        <v>17</v>
      </c>
    </row>
    <row r="67" spans="1:6" x14ac:dyDescent="0.45">
      <c r="A67" t="s">
        <v>272</v>
      </c>
      <c r="B67" t="s">
        <v>273</v>
      </c>
      <c r="C67" t="s">
        <v>274</v>
      </c>
      <c r="D67" t="s">
        <v>109</v>
      </c>
      <c r="E67">
        <v>20817</v>
      </c>
      <c r="F67" t="s">
        <v>17</v>
      </c>
    </row>
    <row r="68" spans="1:6" x14ac:dyDescent="0.45">
      <c r="A68" t="s">
        <v>275</v>
      </c>
      <c r="B68" t="s">
        <v>276</v>
      </c>
      <c r="C68" t="s">
        <v>277</v>
      </c>
      <c r="D68" t="s">
        <v>278</v>
      </c>
      <c r="E68">
        <v>2451</v>
      </c>
      <c r="F68" t="s">
        <v>17</v>
      </c>
    </row>
    <row r="69" spans="1:6" x14ac:dyDescent="0.45">
      <c r="A69" t="s">
        <v>279</v>
      </c>
      <c r="B69" t="s">
        <v>280</v>
      </c>
      <c r="C69" t="s">
        <v>281</v>
      </c>
      <c r="D69" t="s">
        <v>237</v>
      </c>
      <c r="E69">
        <v>22042</v>
      </c>
      <c r="F69" t="s">
        <v>17</v>
      </c>
    </row>
    <row r="70" spans="1:6" x14ac:dyDescent="0.45">
      <c r="A70" t="s">
        <v>282</v>
      </c>
      <c r="B70" t="s">
        <v>283</v>
      </c>
      <c r="C70" t="s">
        <v>232</v>
      </c>
      <c r="D70" t="s">
        <v>79</v>
      </c>
      <c r="E70">
        <v>60606</v>
      </c>
      <c r="F70" t="s">
        <v>17</v>
      </c>
    </row>
    <row r="71" spans="1:6" x14ac:dyDescent="0.45">
      <c r="A71" t="s">
        <v>284</v>
      </c>
      <c r="B71" t="s">
        <v>285</v>
      </c>
      <c r="C71" t="s">
        <v>281</v>
      </c>
      <c r="D71" t="s">
        <v>237</v>
      </c>
      <c r="E71">
        <v>22042</v>
      </c>
      <c r="F71" t="s">
        <v>17</v>
      </c>
    </row>
    <row r="72" spans="1:6" x14ac:dyDescent="0.45">
      <c r="A72" t="s">
        <v>286</v>
      </c>
      <c r="B72" t="s">
        <v>287</v>
      </c>
      <c r="C72" t="s">
        <v>288</v>
      </c>
      <c r="D72" t="s">
        <v>289</v>
      </c>
      <c r="E72">
        <v>75016</v>
      </c>
      <c r="F72" t="s">
        <v>168</v>
      </c>
    </row>
    <row r="73" spans="1:6" x14ac:dyDescent="0.45">
      <c r="A73" t="s">
        <v>290</v>
      </c>
      <c r="B73" t="s">
        <v>291</v>
      </c>
      <c r="C73" t="s">
        <v>288</v>
      </c>
      <c r="D73" t="s">
        <v>289</v>
      </c>
      <c r="E73">
        <v>75015</v>
      </c>
      <c r="F73" t="s">
        <v>168</v>
      </c>
    </row>
    <row r="74" spans="1:6" x14ac:dyDescent="0.45">
      <c r="A74" t="s">
        <v>292</v>
      </c>
      <c r="B74" t="s">
        <v>293</v>
      </c>
      <c r="C74" t="s">
        <v>294</v>
      </c>
      <c r="D74" t="s">
        <v>289</v>
      </c>
      <c r="E74">
        <v>92200</v>
      </c>
      <c r="F74" t="s">
        <v>168</v>
      </c>
    </row>
    <row r="75" spans="1:6" x14ac:dyDescent="0.45">
      <c r="A75" t="s">
        <v>295</v>
      </c>
      <c r="B75" t="s">
        <v>296</v>
      </c>
      <c r="C75" t="s">
        <v>297</v>
      </c>
      <c r="D75" t="s">
        <v>167</v>
      </c>
      <c r="E75">
        <v>31021</v>
      </c>
      <c r="F75" t="s">
        <v>98</v>
      </c>
    </row>
    <row r="76" spans="1:6" x14ac:dyDescent="0.45">
      <c r="A76" t="s">
        <v>298</v>
      </c>
      <c r="B76" t="s">
        <v>299</v>
      </c>
      <c r="C76" t="s">
        <v>300</v>
      </c>
      <c r="D76" t="s">
        <v>167</v>
      </c>
      <c r="E76">
        <v>70100</v>
      </c>
      <c r="F76" t="s">
        <v>98</v>
      </c>
    </row>
    <row r="77" spans="1:6" x14ac:dyDescent="0.45">
      <c r="A77" t="s">
        <v>301</v>
      </c>
      <c r="B77" t="s">
        <v>302</v>
      </c>
      <c r="C77" t="s">
        <v>303</v>
      </c>
      <c r="D77" t="s">
        <v>167</v>
      </c>
      <c r="E77" t="s">
        <v>167</v>
      </c>
      <c r="F77" t="s">
        <v>304</v>
      </c>
    </row>
    <row r="78" spans="1:6" x14ac:dyDescent="0.45">
      <c r="A78" t="s">
        <v>152</v>
      </c>
      <c r="B78" t="s">
        <v>305</v>
      </c>
      <c r="C78" t="s">
        <v>131</v>
      </c>
      <c r="D78" t="s">
        <v>167</v>
      </c>
      <c r="E78">
        <v>100048</v>
      </c>
      <c r="F78" t="s">
        <v>132</v>
      </c>
    </row>
    <row r="79" spans="1:6" x14ac:dyDescent="0.45">
      <c r="A79" t="s">
        <v>306</v>
      </c>
      <c r="B79" t="s">
        <v>307</v>
      </c>
      <c r="C79" t="s">
        <v>308</v>
      </c>
      <c r="D79" t="s">
        <v>308</v>
      </c>
      <c r="E79" t="s">
        <v>309</v>
      </c>
      <c r="F79" t="s">
        <v>123</v>
      </c>
    </row>
    <row r="80" spans="1:6" x14ac:dyDescent="0.45">
      <c r="A80" t="s">
        <v>310</v>
      </c>
      <c r="B80" t="s">
        <v>311</v>
      </c>
      <c r="C80" t="s">
        <v>312</v>
      </c>
      <c r="D80" t="s">
        <v>167</v>
      </c>
      <c r="E80" t="s">
        <v>313</v>
      </c>
      <c r="F80" t="s">
        <v>314</v>
      </c>
    </row>
    <row r="81" spans="1:6" x14ac:dyDescent="0.45">
      <c r="A81" t="s">
        <v>234</v>
      </c>
      <c r="B81" t="s">
        <v>315</v>
      </c>
      <c r="C81" t="s">
        <v>316</v>
      </c>
      <c r="D81" t="s">
        <v>167</v>
      </c>
      <c r="E81" t="s">
        <v>317</v>
      </c>
      <c r="F81" t="s">
        <v>318</v>
      </c>
    </row>
    <row r="82" spans="1:6" x14ac:dyDescent="0.45">
      <c r="A82" t="s">
        <v>319</v>
      </c>
      <c r="B82" t="s">
        <v>320</v>
      </c>
      <c r="C82" t="s">
        <v>321</v>
      </c>
      <c r="D82" t="s">
        <v>167</v>
      </c>
      <c r="E82">
        <v>3616</v>
      </c>
      <c r="F82" t="s">
        <v>151</v>
      </c>
    </row>
    <row r="83" spans="1:6" x14ac:dyDescent="0.45">
      <c r="A83" t="s">
        <v>322</v>
      </c>
      <c r="B83" t="s">
        <v>323</v>
      </c>
      <c r="C83" t="s">
        <v>269</v>
      </c>
      <c r="D83" t="s">
        <v>324</v>
      </c>
      <c r="E83">
        <v>88662</v>
      </c>
      <c r="F83" t="s">
        <v>38</v>
      </c>
    </row>
    <row r="84" spans="1:6" x14ac:dyDescent="0.45">
      <c r="A84" t="s">
        <v>325</v>
      </c>
      <c r="B84" t="s">
        <v>326</v>
      </c>
      <c r="C84" t="s">
        <v>327</v>
      </c>
      <c r="D84" t="s">
        <v>167</v>
      </c>
      <c r="E84">
        <v>1601</v>
      </c>
      <c r="F84" t="s">
        <v>328</v>
      </c>
    </row>
    <row r="85" spans="1:6" x14ac:dyDescent="0.45">
      <c r="A85" t="s">
        <v>329</v>
      </c>
      <c r="B85" t="s">
        <v>330</v>
      </c>
      <c r="C85" t="s">
        <v>331</v>
      </c>
      <c r="D85" t="s">
        <v>332</v>
      </c>
      <c r="E85">
        <v>500058</v>
      </c>
      <c r="F85" t="s">
        <v>333</v>
      </c>
    </row>
    <row r="86" spans="1:6" x14ac:dyDescent="0.45">
      <c r="A86" t="s">
        <v>334</v>
      </c>
      <c r="B86" t="s">
        <v>335</v>
      </c>
      <c r="C86" t="s">
        <v>336</v>
      </c>
      <c r="D86" t="s">
        <v>167</v>
      </c>
      <c r="E86">
        <v>4510</v>
      </c>
      <c r="F86" t="s">
        <v>157</v>
      </c>
    </row>
    <row r="87" spans="1:6" x14ac:dyDescent="0.45">
      <c r="A87" t="s">
        <v>337</v>
      </c>
      <c r="B87" t="s">
        <v>244</v>
      </c>
      <c r="C87" t="s">
        <v>245</v>
      </c>
      <c r="D87" t="s">
        <v>167</v>
      </c>
      <c r="E87">
        <v>40476</v>
      </c>
      <c r="F87" t="s">
        <v>38</v>
      </c>
    </row>
    <row r="88" spans="1:6" x14ac:dyDescent="0.45">
      <c r="A88" t="s">
        <v>238</v>
      </c>
      <c r="B88" t="s">
        <v>338</v>
      </c>
      <c r="C88" t="s">
        <v>339</v>
      </c>
      <c r="D88" t="s">
        <v>167</v>
      </c>
      <c r="E88">
        <v>5004</v>
      </c>
      <c r="F88" t="s">
        <v>151</v>
      </c>
    </row>
    <row r="89" spans="1:6" x14ac:dyDescent="0.45">
      <c r="A89" t="s">
        <v>196</v>
      </c>
      <c r="B89" t="s">
        <v>197</v>
      </c>
      <c r="C89" t="s">
        <v>198</v>
      </c>
      <c r="D89" t="s">
        <v>340</v>
      </c>
      <c r="E89">
        <v>33716</v>
      </c>
      <c r="F89" t="s">
        <v>17</v>
      </c>
    </row>
    <row r="90" spans="1:6" x14ac:dyDescent="0.45">
      <c r="A90" t="s">
        <v>341</v>
      </c>
      <c r="B90" t="s">
        <v>342</v>
      </c>
      <c r="C90" t="s">
        <v>343</v>
      </c>
      <c r="D90" t="s">
        <v>167</v>
      </c>
      <c r="E90">
        <v>567710</v>
      </c>
      <c r="F90" t="s">
        <v>343</v>
      </c>
    </row>
    <row r="91" spans="1:6" x14ac:dyDescent="0.45">
      <c r="A91" t="s">
        <v>292</v>
      </c>
      <c r="B91" t="s">
        <v>344</v>
      </c>
      <c r="C91" t="s">
        <v>294</v>
      </c>
      <c r="D91" t="s">
        <v>167</v>
      </c>
      <c r="E91">
        <v>92200</v>
      </c>
      <c r="F91" t="s">
        <v>168</v>
      </c>
    </row>
    <row r="92" spans="1:6" x14ac:dyDescent="0.45">
      <c r="A92" t="s">
        <v>345</v>
      </c>
      <c r="B92" t="s">
        <v>346</v>
      </c>
      <c r="C92" t="s">
        <v>145</v>
      </c>
      <c r="D92" t="s">
        <v>167</v>
      </c>
      <c r="E92">
        <v>2552</v>
      </c>
      <c r="F92" t="s">
        <v>146</v>
      </c>
    </row>
    <row r="93" spans="1:6" x14ac:dyDescent="0.45">
      <c r="A93" t="s">
        <v>171</v>
      </c>
      <c r="B93" t="s">
        <v>347</v>
      </c>
      <c r="C93" t="s">
        <v>173</v>
      </c>
      <c r="D93" t="s">
        <v>167</v>
      </c>
      <c r="E93">
        <v>6100</v>
      </c>
      <c r="F93" t="s">
        <v>174</v>
      </c>
    </row>
    <row r="94" spans="1:6" x14ac:dyDescent="0.45">
      <c r="A94" t="s">
        <v>348</v>
      </c>
      <c r="B94" t="s">
        <v>349</v>
      </c>
      <c r="C94" t="s">
        <v>350</v>
      </c>
      <c r="D94" t="s">
        <v>113</v>
      </c>
      <c r="E94">
        <v>84119</v>
      </c>
      <c r="F94" t="s">
        <v>17</v>
      </c>
    </row>
    <row r="95" spans="1:6" x14ac:dyDescent="0.45">
      <c r="A95" t="s">
        <v>133</v>
      </c>
      <c r="B95" t="s">
        <v>351</v>
      </c>
      <c r="C95" t="s">
        <v>352</v>
      </c>
      <c r="D95" t="s">
        <v>167</v>
      </c>
      <c r="E95">
        <v>183</v>
      </c>
      <c r="F95" t="s">
        <v>137</v>
      </c>
    </row>
    <row r="96" spans="1:6" x14ac:dyDescent="0.45">
      <c r="A96" t="s">
        <v>353</v>
      </c>
      <c r="B96" t="s">
        <v>354</v>
      </c>
      <c r="C96" t="s">
        <v>131</v>
      </c>
      <c r="D96" t="s">
        <v>167</v>
      </c>
      <c r="E96">
        <v>100029</v>
      </c>
      <c r="F96" t="s">
        <v>132</v>
      </c>
    </row>
    <row r="97" spans="1:6" x14ac:dyDescent="0.45">
      <c r="A97" t="s">
        <v>355</v>
      </c>
      <c r="B97" t="s">
        <v>356</v>
      </c>
      <c r="C97" t="s">
        <v>357</v>
      </c>
      <c r="D97" t="s">
        <v>358</v>
      </c>
      <c r="E97">
        <v>14055</v>
      </c>
      <c r="F97" t="s">
        <v>157</v>
      </c>
    </row>
    <row r="98" spans="1:6" x14ac:dyDescent="0.45">
      <c r="A98" t="s">
        <v>154</v>
      </c>
      <c r="B98" t="s">
        <v>359</v>
      </c>
      <c r="C98" t="s">
        <v>360</v>
      </c>
      <c r="D98" t="s">
        <v>361</v>
      </c>
      <c r="E98" t="s">
        <v>362</v>
      </c>
      <c r="F98" t="s">
        <v>157</v>
      </c>
    </row>
    <row r="99" spans="1:6" x14ac:dyDescent="0.45">
      <c r="A99" t="s">
        <v>234</v>
      </c>
      <c r="B99" t="s">
        <v>315</v>
      </c>
      <c r="C99" t="s">
        <v>316</v>
      </c>
      <c r="D99" t="s">
        <v>167</v>
      </c>
      <c r="E99" t="s">
        <v>317</v>
      </c>
      <c r="F99" t="s">
        <v>318</v>
      </c>
    </row>
    <row r="100" spans="1:6" x14ac:dyDescent="0.45">
      <c r="A100" t="s">
        <v>363</v>
      </c>
      <c r="B100" t="s">
        <v>364</v>
      </c>
      <c r="C100" t="s">
        <v>365</v>
      </c>
      <c r="D100" t="s">
        <v>167</v>
      </c>
      <c r="E100">
        <v>152</v>
      </c>
      <c r="F100" t="s">
        <v>366</v>
      </c>
    </row>
    <row r="101" spans="1:6" x14ac:dyDescent="0.45">
      <c r="A101" t="s">
        <v>367</v>
      </c>
      <c r="B101" t="s">
        <v>368</v>
      </c>
      <c r="C101" t="s">
        <v>369</v>
      </c>
      <c r="D101" t="s">
        <v>167</v>
      </c>
      <c r="E101">
        <v>107076</v>
      </c>
      <c r="F101" t="s">
        <v>370</v>
      </c>
    </row>
    <row r="102" spans="1:6" x14ac:dyDescent="0.45">
      <c r="A102" t="s">
        <v>371</v>
      </c>
      <c r="B102" t="s">
        <v>372</v>
      </c>
      <c r="C102" t="s">
        <v>373</v>
      </c>
      <c r="D102" t="s">
        <v>374</v>
      </c>
      <c r="E102">
        <v>700027</v>
      </c>
      <c r="F102" t="s">
        <v>333</v>
      </c>
    </row>
    <row r="103" spans="1:6" x14ac:dyDescent="0.45">
      <c r="A103" t="s">
        <v>375</v>
      </c>
      <c r="B103" t="s">
        <v>376</v>
      </c>
      <c r="C103" t="s">
        <v>377</v>
      </c>
      <c r="D103" t="s">
        <v>378</v>
      </c>
      <c r="E103">
        <v>426000</v>
      </c>
      <c r="F103" t="s">
        <v>370</v>
      </c>
    </row>
    <row r="104" spans="1:6" x14ac:dyDescent="0.45">
      <c r="A104" t="s">
        <v>379</v>
      </c>
      <c r="B104" t="s">
        <v>380</v>
      </c>
      <c r="C104" t="s">
        <v>381</v>
      </c>
      <c r="D104" t="s">
        <v>167</v>
      </c>
      <c r="E104">
        <v>3752</v>
      </c>
      <c r="F104" t="s">
        <v>38</v>
      </c>
    </row>
    <row r="105" spans="1:6" x14ac:dyDescent="0.45">
      <c r="A105" t="s">
        <v>129</v>
      </c>
      <c r="B105" t="s">
        <v>382</v>
      </c>
      <c r="C105" t="s">
        <v>131</v>
      </c>
      <c r="D105" t="s">
        <v>167</v>
      </c>
      <c r="E105">
        <v>100053</v>
      </c>
      <c r="F105" t="s">
        <v>132</v>
      </c>
    </row>
    <row r="106" spans="1:6" x14ac:dyDescent="0.45">
      <c r="A106" t="s">
        <v>383</v>
      </c>
      <c r="B106" t="s">
        <v>384</v>
      </c>
      <c r="C106" t="s">
        <v>385</v>
      </c>
      <c r="D106" t="s">
        <v>167</v>
      </c>
      <c r="E106">
        <v>84700</v>
      </c>
      <c r="F106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7344-7452-407E-A0C8-EAE08DD5B81C}">
  <dimension ref="B1:G11"/>
  <sheetViews>
    <sheetView workbookViewId="0">
      <selection activeCell="B3" sqref="B3"/>
    </sheetView>
  </sheetViews>
  <sheetFormatPr defaultRowHeight="14.25" x14ac:dyDescent="0.45"/>
  <cols>
    <col min="2" max="2" width="15.265625" customWidth="1"/>
    <col min="3" max="3" width="26.73046875" customWidth="1"/>
    <col min="4" max="4" width="15.1328125" customWidth="1"/>
    <col min="5" max="5" width="19.1328125" customWidth="1"/>
    <col min="6" max="6" width="12.86328125" customWidth="1"/>
    <col min="7" max="7" width="20.46484375" customWidth="1"/>
  </cols>
  <sheetData>
    <row r="1" spans="2:7" ht="15" x14ac:dyDescent="0.55000000000000004">
      <c r="B1" s="5"/>
      <c r="C1" s="5"/>
      <c r="D1" s="5"/>
      <c r="E1" s="5"/>
      <c r="F1" s="5"/>
      <c r="G1" s="5"/>
    </row>
    <row r="2" spans="2:7" ht="15" x14ac:dyDescent="0.45">
      <c r="B2" s="6"/>
      <c r="C2" s="6"/>
      <c r="D2" s="6"/>
      <c r="E2" s="6"/>
      <c r="F2" s="6"/>
      <c r="G2" s="6"/>
    </row>
    <row r="3" spans="2:7" ht="15" x14ac:dyDescent="0.45">
      <c r="B3" s="6"/>
      <c r="C3" s="6"/>
      <c r="D3" s="6"/>
      <c r="E3" s="6"/>
      <c r="F3" s="6"/>
      <c r="G3" s="6"/>
    </row>
    <row r="4" spans="2:7" ht="15" x14ac:dyDescent="0.45">
      <c r="B4" s="6"/>
      <c r="C4" s="6"/>
      <c r="D4" s="6"/>
      <c r="E4" s="6"/>
      <c r="F4" s="6"/>
      <c r="G4" s="6"/>
    </row>
    <row r="5" spans="2:7" ht="15" x14ac:dyDescent="0.45">
      <c r="B5" s="6"/>
      <c r="C5" s="6"/>
      <c r="D5" s="6"/>
      <c r="E5" s="6"/>
      <c r="F5" s="6"/>
      <c r="G5" s="6"/>
    </row>
    <row r="6" spans="2:7" ht="15" x14ac:dyDescent="0.45">
      <c r="B6" s="6"/>
      <c r="C6" s="6"/>
      <c r="D6" s="6"/>
      <c r="E6" s="6"/>
      <c r="F6" s="6"/>
      <c r="G6" s="6"/>
    </row>
    <row r="7" spans="2:7" ht="15" x14ac:dyDescent="0.45">
      <c r="B7" s="6"/>
      <c r="C7" s="6"/>
      <c r="D7" s="6"/>
      <c r="E7" s="6"/>
      <c r="F7" s="6"/>
      <c r="G7" s="6"/>
    </row>
    <row r="8" spans="2:7" ht="15" x14ac:dyDescent="0.45">
      <c r="B8" s="6"/>
      <c r="C8" s="6"/>
      <c r="D8" s="6"/>
      <c r="E8" s="6"/>
      <c r="F8" s="6"/>
      <c r="G8" s="6"/>
    </row>
    <row r="9" spans="2:7" ht="15" x14ac:dyDescent="0.45">
      <c r="B9" s="6"/>
      <c r="C9" s="6"/>
      <c r="D9" s="6"/>
      <c r="E9" s="6"/>
      <c r="F9" s="6"/>
      <c r="G9" s="6"/>
    </row>
    <row r="10" spans="2:7" ht="15" x14ac:dyDescent="0.45">
      <c r="B10" s="6"/>
      <c r="C10" s="6"/>
      <c r="D10" s="6"/>
      <c r="E10" s="6"/>
      <c r="F10" s="6"/>
      <c r="G10" s="6"/>
    </row>
    <row r="11" spans="2:7" ht="15" x14ac:dyDescent="0.45">
      <c r="B11" s="6"/>
      <c r="C11" s="6"/>
      <c r="D11" s="6"/>
      <c r="E11" s="6"/>
      <c r="F11" s="6"/>
      <c r="G1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5ACD-4EA1-4309-9719-0273201C3527}">
  <dimension ref="A1:G11"/>
  <sheetViews>
    <sheetView workbookViewId="0">
      <selection activeCell="F2" sqref="F2"/>
    </sheetView>
  </sheetViews>
  <sheetFormatPr defaultRowHeight="14.25" x14ac:dyDescent="0.45"/>
  <cols>
    <col min="2" max="2" width="21.265625" bestFit="1" customWidth="1"/>
    <col min="3" max="3" width="21.1328125" bestFit="1" customWidth="1"/>
    <col min="4" max="4" width="9.796875" bestFit="1" customWidth="1"/>
  </cols>
  <sheetData>
    <row r="1" spans="1:7" x14ac:dyDescent="0.45">
      <c r="A1" s="7" t="s">
        <v>7</v>
      </c>
      <c r="B1" s="7" t="s">
        <v>401</v>
      </c>
      <c r="C1" s="7" t="s">
        <v>402</v>
      </c>
      <c r="D1" s="7" t="s">
        <v>11</v>
      </c>
      <c r="E1" s="7" t="s">
        <v>12</v>
      </c>
      <c r="F1" s="7" t="s">
        <v>16</v>
      </c>
      <c r="G1" s="7" t="s">
        <v>13</v>
      </c>
    </row>
    <row r="2" spans="1:7" x14ac:dyDescent="0.45">
      <c r="A2" s="8">
        <v>1</v>
      </c>
      <c r="B2" s="7" t="s">
        <v>403</v>
      </c>
      <c r="C2" s="7" t="s">
        <v>404</v>
      </c>
      <c r="D2" s="7" t="s">
        <v>103</v>
      </c>
      <c r="E2" s="7" t="s">
        <v>159</v>
      </c>
      <c r="F2" s="7">
        <v>3602</v>
      </c>
      <c r="G2" s="7" t="s">
        <v>104</v>
      </c>
    </row>
    <row r="3" spans="1:7" x14ac:dyDescent="0.45">
      <c r="A3" s="8">
        <v>2</v>
      </c>
      <c r="B3" s="7" t="s">
        <v>405</v>
      </c>
      <c r="C3" s="7" t="s">
        <v>406</v>
      </c>
      <c r="D3" s="7" t="s">
        <v>407</v>
      </c>
      <c r="E3" s="7" t="s">
        <v>408</v>
      </c>
      <c r="F3" s="7">
        <v>2915</v>
      </c>
      <c r="G3" s="7" t="s">
        <v>104</v>
      </c>
    </row>
    <row r="4" spans="1:7" x14ac:dyDescent="0.45">
      <c r="A4" s="8">
        <v>3</v>
      </c>
      <c r="B4" s="7" t="s">
        <v>409</v>
      </c>
      <c r="C4" s="7" t="s">
        <v>410</v>
      </c>
      <c r="D4" s="7" t="s">
        <v>411</v>
      </c>
      <c r="E4" s="7" t="s">
        <v>412</v>
      </c>
      <c r="F4" s="7">
        <v>8302</v>
      </c>
      <c r="G4" s="7" t="s">
        <v>104</v>
      </c>
    </row>
    <row r="5" spans="1:7" x14ac:dyDescent="0.45">
      <c r="A5" s="8">
        <v>4</v>
      </c>
      <c r="B5" s="7" t="s">
        <v>413</v>
      </c>
      <c r="C5" s="7" t="s">
        <v>414</v>
      </c>
      <c r="D5" s="7" t="s">
        <v>415</v>
      </c>
      <c r="E5" s="7" t="s">
        <v>416</v>
      </c>
      <c r="F5" s="7">
        <v>6032</v>
      </c>
      <c r="G5" s="7" t="s">
        <v>104</v>
      </c>
    </row>
    <row r="6" spans="1:7" x14ac:dyDescent="0.45">
      <c r="A6" s="8">
        <v>5</v>
      </c>
      <c r="B6" s="7" t="s">
        <v>417</v>
      </c>
      <c r="C6" s="7" t="s">
        <v>418</v>
      </c>
      <c r="D6" s="7" t="s">
        <v>419</v>
      </c>
      <c r="E6" s="7" t="s">
        <v>420</v>
      </c>
      <c r="F6" s="7">
        <v>8501</v>
      </c>
      <c r="G6" s="7" t="s">
        <v>104</v>
      </c>
    </row>
    <row r="7" spans="1:7" x14ac:dyDescent="0.45">
      <c r="A7" s="8">
        <v>6</v>
      </c>
      <c r="B7" s="7" t="s">
        <v>421</v>
      </c>
      <c r="C7" s="7" t="s">
        <v>422</v>
      </c>
      <c r="D7" s="7" t="s">
        <v>423</v>
      </c>
      <c r="E7" s="7" t="s">
        <v>424</v>
      </c>
      <c r="F7" s="7">
        <v>8880</v>
      </c>
      <c r="G7" s="7" t="s">
        <v>104</v>
      </c>
    </row>
    <row r="8" spans="1:7" x14ac:dyDescent="0.45">
      <c r="A8" s="8">
        <v>7</v>
      </c>
      <c r="B8" s="7" t="s">
        <v>439</v>
      </c>
      <c r="C8" s="7" t="s">
        <v>425</v>
      </c>
      <c r="D8" s="7" t="s">
        <v>426</v>
      </c>
      <c r="E8" s="7" t="s">
        <v>427</v>
      </c>
      <c r="F8" s="7">
        <v>1510</v>
      </c>
      <c r="G8" s="7" t="s">
        <v>104</v>
      </c>
    </row>
    <row r="9" spans="1:7" x14ac:dyDescent="0.45">
      <c r="A9" s="8">
        <v>8</v>
      </c>
      <c r="B9" s="7" t="s">
        <v>440</v>
      </c>
      <c r="C9" s="7" t="s">
        <v>428</v>
      </c>
      <c r="D9" s="7" t="s">
        <v>429</v>
      </c>
      <c r="E9" s="7" t="s">
        <v>430</v>
      </c>
      <c r="F9" s="7">
        <v>1950</v>
      </c>
      <c r="G9" s="7" t="s">
        <v>104</v>
      </c>
    </row>
    <row r="10" spans="1:7" x14ac:dyDescent="0.45">
      <c r="A10" s="8">
        <v>9</v>
      </c>
      <c r="B10" s="7" t="s">
        <v>431</v>
      </c>
      <c r="C10" s="7" t="s">
        <v>432</v>
      </c>
      <c r="D10" s="7" t="s">
        <v>433</v>
      </c>
      <c r="E10" s="7" t="s">
        <v>434</v>
      </c>
      <c r="F10" s="7">
        <v>7000</v>
      </c>
      <c r="G10" s="7" t="s">
        <v>104</v>
      </c>
    </row>
    <row r="11" spans="1:7" x14ac:dyDescent="0.45">
      <c r="A11" s="8">
        <v>10</v>
      </c>
      <c r="B11" s="7" t="s">
        <v>438</v>
      </c>
      <c r="C11" s="7" t="s">
        <v>435</v>
      </c>
      <c r="D11" s="7" t="s">
        <v>436</v>
      </c>
      <c r="E11" s="7" t="s">
        <v>437</v>
      </c>
      <c r="F11" s="7">
        <v>6780</v>
      </c>
      <c r="G11" s="7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BD23-C0DE-48E6-B168-36EF0259E2F9}">
  <dimension ref="A1:D8"/>
  <sheetViews>
    <sheetView workbookViewId="0">
      <selection activeCell="C10" sqref="C10"/>
    </sheetView>
  </sheetViews>
  <sheetFormatPr defaultRowHeight="14.25" x14ac:dyDescent="0.45"/>
  <cols>
    <col min="3" max="3" width="64.33203125" bestFit="1" customWidth="1"/>
    <col min="4" max="4" width="11.86328125" bestFit="1" customWidth="1"/>
  </cols>
  <sheetData>
    <row r="1" spans="1:4" x14ac:dyDescent="0.45">
      <c r="A1" t="s">
        <v>466</v>
      </c>
      <c r="B1" t="s">
        <v>451</v>
      </c>
      <c r="C1" t="s">
        <v>467</v>
      </c>
    </row>
    <row r="2" spans="1:4" ht="15.75" x14ac:dyDescent="0.45">
      <c r="A2">
        <v>1</v>
      </c>
      <c r="B2" t="s">
        <v>459</v>
      </c>
      <c r="C2" s="11" t="s">
        <v>452</v>
      </c>
    </row>
    <row r="3" spans="1:4" ht="15.75" x14ac:dyDescent="0.45">
      <c r="A3">
        <v>2</v>
      </c>
      <c r="B3" t="s">
        <v>460</v>
      </c>
      <c r="C3" s="11" t="s">
        <v>453</v>
      </c>
      <c r="D3" s="9"/>
    </row>
    <row r="4" spans="1:4" ht="15.75" x14ac:dyDescent="0.45">
      <c r="A4">
        <v>3</v>
      </c>
      <c r="B4" t="s">
        <v>461</v>
      </c>
      <c r="C4" s="11" t="s">
        <v>454</v>
      </c>
      <c r="D4" s="9"/>
    </row>
    <row r="5" spans="1:4" ht="15.75" x14ac:dyDescent="0.45">
      <c r="A5">
        <v>4</v>
      </c>
      <c r="B5" t="s">
        <v>462</v>
      </c>
      <c r="C5" s="11" t="s">
        <v>455</v>
      </c>
      <c r="D5" s="9"/>
    </row>
    <row r="6" spans="1:4" ht="15.75" x14ac:dyDescent="0.45">
      <c r="A6">
        <v>5</v>
      </c>
      <c r="B6" t="s">
        <v>463</v>
      </c>
      <c r="C6" s="11" t="s">
        <v>456</v>
      </c>
      <c r="D6" s="9"/>
    </row>
    <row r="7" spans="1:4" ht="15.75" x14ac:dyDescent="0.45">
      <c r="A7">
        <v>6</v>
      </c>
      <c r="B7" t="s">
        <v>464</v>
      </c>
      <c r="C7" s="11" t="s">
        <v>457</v>
      </c>
      <c r="D7" s="9"/>
    </row>
    <row r="8" spans="1:4" ht="15.75" x14ac:dyDescent="0.45">
      <c r="A8">
        <v>7</v>
      </c>
      <c r="B8" t="s">
        <v>465</v>
      </c>
      <c r="C8" s="11" t="s">
        <v>458</v>
      </c>
      <c r="D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BA14-3AEE-48F3-9420-71E2D3EA0EE1}">
  <dimension ref="A1:C39"/>
  <sheetViews>
    <sheetView workbookViewId="0">
      <selection sqref="A1:C30"/>
    </sheetView>
  </sheetViews>
  <sheetFormatPr defaultRowHeight="14.25" x14ac:dyDescent="0.45"/>
  <cols>
    <col min="2" max="2" width="8.86328125" bestFit="1" customWidth="1"/>
  </cols>
  <sheetData>
    <row r="1" spans="1:3" x14ac:dyDescent="0.45">
      <c r="A1" t="s">
        <v>7</v>
      </c>
      <c r="B1" t="s">
        <v>451</v>
      </c>
      <c r="C1" t="s">
        <v>467</v>
      </c>
    </row>
    <row r="2" spans="1:3" ht="15.75" x14ac:dyDescent="0.45">
      <c r="A2" s="3">
        <v>1</v>
      </c>
      <c r="B2" s="12">
        <v>1.1000000000000001</v>
      </c>
      <c r="C2" s="11" t="s">
        <v>468</v>
      </c>
    </row>
    <row r="3" spans="1:3" ht="15.75" x14ac:dyDescent="0.45">
      <c r="A3" s="3">
        <f>A2+1</f>
        <v>2</v>
      </c>
      <c r="B3" s="12">
        <v>1.2</v>
      </c>
      <c r="C3" s="11" t="s">
        <v>469</v>
      </c>
    </row>
    <row r="4" spans="1:3" ht="15.75" x14ac:dyDescent="0.45">
      <c r="A4" s="3">
        <f t="shared" ref="A4:A30" si="0">A3+1</f>
        <v>3</v>
      </c>
      <c r="B4" s="12" t="s">
        <v>470</v>
      </c>
      <c r="C4" s="11" t="s">
        <v>471</v>
      </c>
    </row>
    <row r="5" spans="1:3" ht="15.75" x14ac:dyDescent="0.45">
      <c r="A5" s="3">
        <f t="shared" si="0"/>
        <v>4</v>
      </c>
      <c r="B5" s="12" t="s">
        <v>472</v>
      </c>
      <c r="C5" s="11" t="s">
        <v>473</v>
      </c>
    </row>
    <row r="6" spans="1:3" ht="15.75" x14ac:dyDescent="0.45">
      <c r="A6" s="3">
        <f t="shared" si="0"/>
        <v>5</v>
      </c>
      <c r="B6" s="12" t="s">
        <v>474</v>
      </c>
      <c r="C6" s="11" t="s">
        <v>475</v>
      </c>
    </row>
    <row r="7" spans="1:3" ht="15.75" x14ac:dyDescent="0.45">
      <c r="A7" s="3">
        <f t="shared" si="0"/>
        <v>6</v>
      </c>
      <c r="B7" s="12">
        <v>1.3</v>
      </c>
      <c r="C7" s="11" t="s">
        <v>476</v>
      </c>
    </row>
    <row r="8" spans="1:3" x14ac:dyDescent="0.45">
      <c r="A8" s="3">
        <f t="shared" si="0"/>
        <v>7</v>
      </c>
      <c r="B8" s="3" t="s">
        <v>477</v>
      </c>
      <c r="C8" t="s">
        <v>478</v>
      </c>
    </row>
    <row r="9" spans="1:3" x14ac:dyDescent="0.45">
      <c r="A9" s="3">
        <f t="shared" si="0"/>
        <v>8</v>
      </c>
      <c r="B9" s="3" t="s">
        <v>479</v>
      </c>
      <c r="C9" t="s">
        <v>480</v>
      </c>
    </row>
    <row r="10" spans="1:3" x14ac:dyDescent="0.45">
      <c r="A10" s="3">
        <f t="shared" si="0"/>
        <v>9</v>
      </c>
      <c r="B10" s="3">
        <v>1.4</v>
      </c>
      <c r="C10" t="s">
        <v>481</v>
      </c>
    </row>
    <row r="11" spans="1:3" x14ac:dyDescent="0.45">
      <c r="A11" s="3">
        <f t="shared" si="0"/>
        <v>10</v>
      </c>
      <c r="B11" s="3">
        <v>1.5</v>
      </c>
      <c r="C11" t="s">
        <v>482</v>
      </c>
    </row>
    <row r="12" spans="1:3" x14ac:dyDescent="0.45">
      <c r="A12" s="3">
        <f t="shared" si="0"/>
        <v>11</v>
      </c>
      <c r="B12" s="3">
        <v>1.6</v>
      </c>
      <c r="C12" t="s">
        <v>483</v>
      </c>
    </row>
    <row r="13" spans="1:3" x14ac:dyDescent="0.45">
      <c r="A13" s="3">
        <f t="shared" si="0"/>
        <v>12</v>
      </c>
      <c r="B13" s="3">
        <v>2.1</v>
      </c>
      <c r="C13" t="s">
        <v>484</v>
      </c>
    </row>
    <row r="14" spans="1:3" x14ac:dyDescent="0.45">
      <c r="A14" s="3">
        <f t="shared" si="0"/>
        <v>13</v>
      </c>
      <c r="B14" s="3">
        <v>2.2000000000000002</v>
      </c>
      <c r="C14" t="s">
        <v>485</v>
      </c>
    </row>
    <row r="15" spans="1:3" x14ac:dyDescent="0.45">
      <c r="A15" s="3">
        <f t="shared" si="0"/>
        <v>14</v>
      </c>
      <c r="B15" s="3">
        <v>2.2999999999999998</v>
      </c>
      <c r="C15" t="s">
        <v>486</v>
      </c>
    </row>
    <row r="16" spans="1:3" x14ac:dyDescent="0.45">
      <c r="A16" s="3">
        <f t="shared" si="0"/>
        <v>15</v>
      </c>
      <c r="B16" s="3">
        <v>3</v>
      </c>
      <c r="C16" t="s">
        <v>487</v>
      </c>
    </row>
    <row r="17" spans="1:3" x14ac:dyDescent="0.45">
      <c r="A17" s="3">
        <f t="shared" si="0"/>
        <v>16</v>
      </c>
      <c r="B17" s="3">
        <v>4.0999999999999996</v>
      </c>
      <c r="C17" t="s">
        <v>488</v>
      </c>
    </row>
    <row r="18" spans="1:3" x14ac:dyDescent="0.45">
      <c r="A18" s="3">
        <f t="shared" si="0"/>
        <v>17</v>
      </c>
      <c r="B18" s="3">
        <v>4.2</v>
      </c>
      <c r="C18" t="s">
        <v>489</v>
      </c>
    </row>
    <row r="19" spans="1:3" x14ac:dyDescent="0.45">
      <c r="A19" s="3">
        <f t="shared" si="0"/>
        <v>18</v>
      </c>
      <c r="B19" s="3">
        <v>4.3</v>
      </c>
      <c r="C19" t="s">
        <v>490</v>
      </c>
    </row>
    <row r="20" spans="1:3" x14ac:dyDescent="0.45">
      <c r="A20" s="3">
        <f t="shared" si="0"/>
        <v>19</v>
      </c>
      <c r="B20" s="3">
        <v>5.0999999999999996</v>
      </c>
      <c r="C20" t="s">
        <v>491</v>
      </c>
    </row>
    <row r="21" spans="1:3" x14ac:dyDescent="0.45">
      <c r="A21" s="3">
        <f t="shared" si="0"/>
        <v>20</v>
      </c>
      <c r="B21" s="3">
        <v>5.2</v>
      </c>
      <c r="C21" t="s">
        <v>492</v>
      </c>
    </row>
    <row r="22" spans="1:3" x14ac:dyDescent="0.45">
      <c r="A22" s="3">
        <f t="shared" si="0"/>
        <v>21</v>
      </c>
      <c r="B22" s="3">
        <v>6.1</v>
      </c>
      <c r="C22" t="s">
        <v>493</v>
      </c>
    </row>
    <row r="23" spans="1:3" x14ac:dyDescent="0.45">
      <c r="A23" s="3">
        <f t="shared" si="0"/>
        <v>22</v>
      </c>
      <c r="B23" s="3">
        <v>6.2</v>
      </c>
      <c r="C23" t="s">
        <v>494</v>
      </c>
    </row>
    <row r="24" spans="1:3" x14ac:dyDescent="0.45">
      <c r="A24" s="3">
        <f t="shared" si="0"/>
        <v>23</v>
      </c>
      <c r="B24" s="3">
        <v>7</v>
      </c>
      <c r="C24" t="s">
        <v>495</v>
      </c>
    </row>
    <row r="25" spans="1:3" x14ac:dyDescent="0.45">
      <c r="A25" s="3">
        <f t="shared" si="0"/>
        <v>24</v>
      </c>
      <c r="B25" s="3">
        <v>8</v>
      </c>
      <c r="C25" t="s">
        <v>496</v>
      </c>
    </row>
    <row r="26" spans="1:3" x14ac:dyDescent="0.45">
      <c r="A26" s="3">
        <f t="shared" si="0"/>
        <v>25</v>
      </c>
      <c r="B26" s="3">
        <v>9</v>
      </c>
      <c r="C26" t="s">
        <v>497</v>
      </c>
    </row>
    <row r="27" spans="1:3" x14ac:dyDescent="0.45">
      <c r="A27" s="3">
        <f t="shared" si="0"/>
        <v>26</v>
      </c>
      <c r="B27" s="3">
        <v>9.1</v>
      </c>
      <c r="C27" t="s">
        <v>498</v>
      </c>
    </row>
    <row r="28" spans="1:3" x14ac:dyDescent="0.45">
      <c r="A28" s="3">
        <f t="shared" si="0"/>
        <v>27</v>
      </c>
      <c r="B28" s="3">
        <v>9.1999999999999993</v>
      </c>
      <c r="C28" t="s">
        <v>499</v>
      </c>
    </row>
    <row r="29" spans="1:3" x14ac:dyDescent="0.45">
      <c r="A29" s="3">
        <f t="shared" si="0"/>
        <v>28</v>
      </c>
      <c r="B29" s="3">
        <v>9.3000000000000007</v>
      </c>
      <c r="C29" t="s">
        <v>500</v>
      </c>
    </row>
    <row r="30" spans="1:3" x14ac:dyDescent="0.45">
      <c r="A30" s="3">
        <f t="shared" si="0"/>
        <v>29</v>
      </c>
      <c r="B30" s="3">
        <v>9.4</v>
      </c>
      <c r="C30" t="s">
        <v>501</v>
      </c>
    </row>
    <row r="31" spans="1:3" x14ac:dyDescent="0.45">
      <c r="B31" s="3"/>
    </row>
    <row r="32" spans="1:3" x14ac:dyDescent="0.45">
      <c r="B32" s="3"/>
    </row>
    <row r="33" spans="2:2" x14ac:dyDescent="0.45">
      <c r="B33" s="3"/>
    </row>
    <row r="34" spans="2:2" x14ac:dyDescent="0.45">
      <c r="B34" s="3"/>
    </row>
    <row r="35" spans="2:2" x14ac:dyDescent="0.45">
      <c r="B35" s="3"/>
    </row>
    <row r="36" spans="2:2" x14ac:dyDescent="0.45">
      <c r="B36" s="3"/>
    </row>
    <row r="37" spans="2:2" x14ac:dyDescent="0.45">
      <c r="B37" s="3"/>
    </row>
    <row r="38" spans="2:2" x14ac:dyDescent="0.45">
      <c r="B38" s="3"/>
    </row>
    <row r="39" spans="2:2" x14ac:dyDescent="0.45">
      <c r="B39" s="3"/>
    </row>
  </sheetData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E723-6009-468E-A851-445CEC81D4C4}">
  <dimension ref="A1:C30"/>
  <sheetViews>
    <sheetView workbookViewId="0">
      <selection activeCell="O32" sqref="O32"/>
    </sheetView>
  </sheetViews>
  <sheetFormatPr defaultRowHeight="14.25" x14ac:dyDescent="0.45"/>
  <sheetData>
    <row r="1" spans="1:3" x14ac:dyDescent="0.45">
      <c r="A1" t="s">
        <v>7</v>
      </c>
      <c r="B1" t="s">
        <v>451</v>
      </c>
      <c r="C1" t="s">
        <v>467</v>
      </c>
    </row>
    <row r="2" spans="1:3" x14ac:dyDescent="0.45">
      <c r="A2">
        <v>1</v>
      </c>
      <c r="B2">
        <v>1.1000000000000001</v>
      </c>
      <c r="C2" t="s">
        <v>468</v>
      </c>
    </row>
    <row r="3" spans="1:3" x14ac:dyDescent="0.45">
      <c r="A3">
        <v>2</v>
      </c>
      <c r="B3">
        <v>1.2</v>
      </c>
      <c r="C3" t="s">
        <v>469</v>
      </c>
    </row>
    <row r="4" spans="1:3" x14ac:dyDescent="0.45">
      <c r="A4">
        <v>3</v>
      </c>
      <c r="B4" t="s">
        <v>470</v>
      </c>
      <c r="C4" t="s">
        <v>471</v>
      </c>
    </row>
    <row r="5" spans="1:3" x14ac:dyDescent="0.45">
      <c r="A5">
        <v>4</v>
      </c>
      <c r="B5" t="s">
        <v>472</v>
      </c>
      <c r="C5" t="s">
        <v>473</v>
      </c>
    </row>
    <row r="6" spans="1:3" x14ac:dyDescent="0.45">
      <c r="A6">
        <v>5</v>
      </c>
      <c r="B6" t="s">
        <v>474</v>
      </c>
      <c r="C6" t="s">
        <v>475</v>
      </c>
    </row>
    <row r="7" spans="1:3" x14ac:dyDescent="0.45">
      <c r="A7">
        <v>6</v>
      </c>
      <c r="B7">
        <v>1.3</v>
      </c>
      <c r="C7" t="s">
        <v>476</v>
      </c>
    </row>
    <row r="8" spans="1:3" x14ac:dyDescent="0.45">
      <c r="A8">
        <v>7</v>
      </c>
      <c r="B8" t="s">
        <v>477</v>
      </c>
      <c r="C8" t="s">
        <v>478</v>
      </c>
    </row>
    <row r="9" spans="1:3" x14ac:dyDescent="0.45">
      <c r="A9">
        <v>8</v>
      </c>
      <c r="B9" t="s">
        <v>479</v>
      </c>
      <c r="C9" t="s">
        <v>480</v>
      </c>
    </row>
    <row r="10" spans="1:3" x14ac:dyDescent="0.45">
      <c r="A10">
        <v>9</v>
      </c>
      <c r="B10">
        <v>1.4</v>
      </c>
      <c r="C10" t="s">
        <v>481</v>
      </c>
    </row>
    <row r="11" spans="1:3" x14ac:dyDescent="0.45">
      <c r="A11">
        <v>10</v>
      </c>
      <c r="B11">
        <v>1.5</v>
      </c>
      <c r="C11" t="s">
        <v>482</v>
      </c>
    </row>
    <row r="12" spans="1:3" x14ac:dyDescent="0.45">
      <c r="A12">
        <v>11</v>
      </c>
      <c r="B12">
        <v>1.6</v>
      </c>
      <c r="C12" t="s">
        <v>483</v>
      </c>
    </row>
    <row r="13" spans="1:3" x14ac:dyDescent="0.45">
      <c r="A13">
        <v>12</v>
      </c>
      <c r="B13">
        <v>2.1</v>
      </c>
      <c r="C13" t="s">
        <v>484</v>
      </c>
    </row>
    <row r="14" spans="1:3" x14ac:dyDescent="0.45">
      <c r="A14">
        <v>13</v>
      </c>
      <c r="B14">
        <v>2.2000000000000002</v>
      </c>
      <c r="C14" t="s">
        <v>485</v>
      </c>
    </row>
    <row r="15" spans="1:3" x14ac:dyDescent="0.45">
      <c r="A15">
        <v>14</v>
      </c>
      <c r="B15">
        <v>2.2999999999999998</v>
      </c>
      <c r="C15" t="s">
        <v>486</v>
      </c>
    </row>
    <row r="16" spans="1:3" x14ac:dyDescent="0.45">
      <c r="A16">
        <v>15</v>
      </c>
      <c r="B16">
        <v>3</v>
      </c>
      <c r="C16" t="s">
        <v>487</v>
      </c>
    </row>
    <row r="17" spans="1:3" x14ac:dyDescent="0.45">
      <c r="A17">
        <v>16</v>
      </c>
      <c r="B17">
        <v>4.0999999999999996</v>
      </c>
      <c r="C17" t="s">
        <v>488</v>
      </c>
    </row>
    <row r="18" spans="1:3" x14ac:dyDescent="0.45">
      <c r="A18">
        <v>17</v>
      </c>
      <c r="B18">
        <v>4.2</v>
      </c>
      <c r="C18" t="s">
        <v>489</v>
      </c>
    </row>
    <row r="19" spans="1:3" x14ac:dyDescent="0.45">
      <c r="A19">
        <v>18</v>
      </c>
      <c r="B19">
        <v>4.3</v>
      </c>
      <c r="C19" t="s">
        <v>490</v>
      </c>
    </row>
    <row r="20" spans="1:3" x14ac:dyDescent="0.45">
      <c r="A20">
        <v>19</v>
      </c>
      <c r="B20">
        <v>5.0999999999999996</v>
      </c>
      <c r="C20" t="s">
        <v>491</v>
      </c>
    </row>
    <row r="21" spans="1:3" x14ac:dyDescent="0.45">
      <c r="A21">
        <v>20</v>
      </c>
      <c r="B21">
        <v>5.2</v>
      </c>
      <c r="C21" t="s">
        <v>492</v>
      </c>
    </row>
    <row r="22" spans="1:3" x14ac:dyDescent="0.45">
      <c r="A22">
        <v>21</v>
      </c>
      <c r="B22">
        <v>6.1</v>
      </c>
      <c r="C22" t="s">
        <v>493</v>
      </c>
    </row>
    <row r="23" spans="1:3" x14ac:dyDescent="0.45">
      <c r="A23">
        <v>22</v>
      </c>
      <c r="B23">
        <v>6.2</v>
      </c>
      <c r="C23" t="s">
        <v>494</v>
      </c>
    </row>
    <row r="24" spans="1:3" x14ac:dyDescent="0.45">
      <c r="A24">
        <v>23</v>
      </c>
      <c r="B24">
        <v>7</v>
      </c>
      <c r="C24" t="s">
        <v>495</v>
      </c>
    </row>
    <row r="25" spans="1:3" x14ac:dyDescent="0.45">
      <c r="A25">
        <v>24</v>
      </c>
      <c r="B25">
        <v>8</v>
      </c>
      <c r="C25" t="s">
        <v>496</v>
      </c>
    </row>
    <row r="26" spans="1:3" x14ac:dyDescent="0.45">
      <c r="A26">
        <v>25</v>
      </c>
      <c r="B26">
        <v>9</v>
      </c>
      <c r="C26" t="s">
        <v>497</v>
      </c>
    </row>
    <row r="27" spans="1:3" x14ac:dyDescent="0.45">
      <c r="A27">
        <v>26</v>
      </c>
      <c r="B27">
        <v>9.1</v>
      </c>
      <c r="C27" t="s">
        <v>498</v>
      </c>
    </row>
    <row r="28" spans="1:3" x14ac:dyDescent="0.45">
      <c r="A28">
        <v>27</v>
      </c>
      <c r="B28">
        <v>9.1999999999999993</v>
      </c>
      <c r="C28" t="s">
        <v>499</v>
      </c>
    </row>
    <row r="29" spans="1:3" x14ac:dyDescent="0.45">
      <c r="A29">
        <v>28</v>
      </c>
      <c r="B29">
        <v>9.3000000000000007</v>
      </c>
      <c r="C29" t="s">
        <v>500</v>
      </c>
    </row>
    <row r="30" spans="1:3" x14ac:dyDescent="0.45">
      <c r="A30">
        <v>29</v>
      </c>
      <c r="B30">
        <v>9.4</v>
      </c>
      <c r="C30" t="s">
        <v>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83F1-4E69-4025-879A-30AAC12AC6B9}">
  <dimension ref="B1:F51"/>
  <sheetViews>
    <sheetView topLeftCell="A25" workbookViewId="0">
      <selection activeCell="B44" sqref="B44"/>
    </sheetView>
  </sheetViews>
  <sheetFormatPr defaultRowHeight="20.75" customHeight="1" x14ac:dyDescent="0.45"/>
  <cols>
    <col min="2" max="2" width="25.59765625" customWidth="1"/>
    <col min="3" max="3" width="55.86328125" customWidth="1"/>
  </cols>
  <sheetData>
    <row r="1" spans="2:3" ht="20.75" customHeight="1" x14ac:dyDescent="0.45">
      <c r="B1" t="s">
        <v>502</v>
      </c>
      <c r="C1" t="s">
        <v>503</v>
      </c>
    </row>
    <row r="2" spans="2:3" ht="20.75" customHeight="1" x14ac:dyDescent="0.45">
      <c r="B2" t="s">
        <v>504</v>
      </c>
      <c r="C2" t="s">
        <v>505</v>
      </c>
    </row>
    <row r="3" spans="2:3" ht="20.75" customHeight="1" x14ac:dyDescent="0.45">
      <c r="B3" t="s">
        <v>506</v>
      </c>
      <c r="C3" t="s">
        <v>507</v>
      </c>
    </row>
    <row r="4" spans="2:3" ht="20.75" customHeight="1" x14ac:dyDescent="0.45">
      <c r="B4" t="s">
        <v>508</v>
      </c>
      <c r="C4" t="s">
        <v>509</v>
      </c>
    </row>
    <row r="5" spans="2:3" ht="20.75" customHeight="1" x14ac:dyDescent="0.45">
      <c r="B5" t="s">
        <v>510</v>
      </c>
      <c r="C5" t="s">
        <v>511</v>
      </c>
    </row>
    <row r="6" spans="2:3" ht="20.75" customHeight="1" x14ac:dyDescent="0.45">
      <c r="B6" t="s">
        <v>512</v>
      </c>
      <c r="C6" t="s">
        <v>513</v>
      </c>
    </row>
    <row r="7" spans="2:3" ht="20.75" customHeight="1" x14ac:dyDescent="0.45">
      <c r="B7" t="s">
        <v>514</v>
      </c>
      <c r="C7" t="s">
        <v>515</v>
      </c>
    </row>
    <row r="8" spans="2:3" ht="20.75" customHeight="1" x14ac:dyDescent="0.45">
      <c r="B8" t="s">
        <v>516</v>
      </c>
      <c r="C8" t="s">
        <v>517</v>
      </c>
    </row>
    <row r="9" spans="2:3" ht="20.75" customHeight="1" x14ac:dyDescent="0.45">
      <c r="B9" t="s">
        <v>518</v>
      </c>
      <c r="C9" t="s">
        <v>519</v>
      </c>
    </row>
    <row r="10" spans="2:3" ht="20.75" customHeight="1" x14ac:dyDescent="0.45">
      <c r="B10" t="s">
        <v>520</v>
      </c>
      <c r="C10" t="s">
        <v>521</v>
      </c>
    </row>
    <row r="11" spans="2:3" ht="20.75" customHeight="1" x14ac:dyDescent="0.45">
      <c r="B11" t="s">
        <v>522</v>
      </c>
      <c r="C11" t="s">
        <v>523</v>
      </c>
    </row>
    <row r="12" spans="2:3" ht="20.75" customHeight="1" x14ac:dyDescent="0.45">
      <c r="B12" t="s">
        <v>524</v>
      </c>
      <c r="C12" t="s">
        <v>525</v>
      </c>
    </row>
    <row r="13" spans="2:3" ht="20.75" customHeight="1" x14ac:dyDescent="0.45">
      <c r="B13" t="s">
        <v>526</v>
      </c>
      <c r="C13" t="s">
        <v>527</v>
      </c>
    </row>
    <row r="14" spans="2:3" ht="20.75" customHeight="1" x14ac:dyDescent="0.45">
      <c r="B14" t="s">
        <v>528</v>
      </c>
      <c r="C14" t="s">
        <v>529</v>
      </c>
    </row>
    <row r="15" spans="2:3" ht="20.75" customHeight="1" x14ac:dyDescent="0.45">
      <c r="B15" t="s">
        <v>530</v>
      </c>
      <c r="C15" t="s">
        <v>531</v>
      </c>
    </row>
    <row r="16" spans="2:3" ht="20.75" customHeight="1" x14ac:dyDescent="0.45">
      <c r="B16" t="s">
        <v>532</v>
      </c>
      <c r="C16" t="s">
        <v>533</v>
      </c>
    </row>
    <row r="17" spans="2:3" ht="20.75" customHeight="1" x14ac:dyDescent="0.45">
      <c r="B17" t="s">
        <v>534</v>
      </c>
      <c r="C17" t="s">
        <v>535</v>
      </c>
    </row>
    <row r="18" spans="2:3" ht="20.75" customHeight="1" x14ac:dyDescent="0.45">
      <c r="B18" t="s">
        <v>536</v>
      </c>
      <c r="C18" t="s">
        <v>537</v>
      </c>
    </row>
    <row r="19" spans="2:3" ht="20.75" customHeight="1" x14ac:dyDescent="0.45">
      <c r="B19" t="s">
        <v>538</v>
      </c>
      <c r="C19" t="s">
        <v>539</v>
      </c>
    </row>
    <row r="20" spans="2:3" ht="20.75" customHeight="1" x14ac:dyDescent="0.45">
      <c r="B20" t="s">
        <v>540</v>
      </c>
      <c r="C20" t="s">
        <v>541</v>
      </c>
    </row>
    <row r="21" spans="2:3" ht="20.75" customHeight="1" x14ac:dyDescent="0.45">
      <c r="B21" t="s">
        <v>542</v>
      </c>
      <c r="C21" t="s">
        <v>543</v>
      </c>
    </row>
    <row r="22" spans="2:3" ht="20.75" customHeight="1" x14ac:dyDescent="0.45">
      <c r="B22" t="s">
        <v>544</v>
      </c>
      <c r="C22" t="s">
        <v>545</v>
      </c>
    </row>
    <row r="23" spans="2:3" ht="20.75" customHeight="1" x14ac:dyDescent="0.45">
      <c r="B23" t="s">
        <v>546</v>
      </c>
      <c r="C23" t="s">
        <v>547</v>
      </c>
    </row>
    <row r="24" spans="2:3" ht="20.75" customHeight="1" x14ac:dyDescent="0.45">
      <c r="B24" t="s">
        <v>548</v>
      </c>
      <c r="C24" t="s">
        <v>549</v>
      </c>
    </row>
    <row r="25" spans="2:3" ht="20.75" customHeight="1" x14ac:dyDescent="0.45">
      <c r="B25" t="s">
        <v>550</v>
      </c>
      <c r="C25" t="s">
        <v>551</v>
      </c>
    </row>
    <row r="26" spans="2:3" ht="20.75" customHeight="1" x14ac:dyDescent="0.45">
      <c r="B26" t="s">
        <v>552</v>
      </c>
      <c r="C26" t="s">
        <v>553</v>
      </c>
    </row>
    <row r="27" spans="2:3" ht="20.75" customHeight="1" x14ac:dyDescent="0.45">
      <c r="B27" t="s">
        <v>554</v>
      </c>
      <c r="C27" t="s">
        <v>555</v>
      </c>
    </row>
    <row r="28" spans="2:3" ht="20.75" customHeight="1" x14ac:dyDescent="0.45">
      <c r="B28" t="s">
        <v>556</v>
      </c>
      <c r="C28" t="s">
        <v>557</v>
      </c>
    </row>
    <row r="29" spans="2:3" ht="20.75" customHeight="1" x14ac:dyDescent="0.45">
      <c r="B29" t="s">
        <v>558</v>
      </c>
      <c r="C29" t="s">
        <v>559</v>
      </c>
    </row>
    <row r="30" spans="2:3" ht="20.75" customHeight="1" x14ac:dyDescent="0.45">
      <c r="B30" t="s">
        <v>560</v>
      </c>
      <c r="C30" t="s">
        <v>561</v>
      </c>
    </row>
    <row r="31" spans="2:3" ht="20.75" customHeight="1" x14ac:dyDescent="0.45">
      <c r="B31" t="s">
        <v>562</v>
      </c>
      <c r="C31" t="s">
        <v>563</v>
      </c>
    </row>
    <row r="32" spans="2:3" ht="20.75" customHeight="1" x14ac:dyDescent="0.45">
      <c r="B32" t="s">
        <v>564</v>
      </c>
      <c r="C32" t="s">
        <v>565</v>
      </c>
    </row>
    <row r="33" spans="2:6" ht="20.75" customHeight="1" x14ac:dyDescent="0.45">
      <c r="B33" t="s">
        <v>566</v>
      </c>
      <c r="C33" t="s">
        <v>567</v>
      </c>
    </row>
    <row r="34" spans="2:6" ht="20.75" customHeight="1" x14ac:dyDescent="0.45">
      <c r="B34" t="s">
        <v>568</v>
      </c>
      <c r="C34" t="s">
        <v>569</v>
      </c>
    </row>
    <row r="35" spans="2:6" ht="20.75" customHeight="1" x14ac:dyDescent="0.45">
      <c r="B35" t="s">
        <v>570</v>
      </c>
      <c r="C35" t="s">
        <v>571</v>
      </c>
    </row>
    <row r="38" spans="2:6" ht="20.75" customHeight="1" x14ac:dyDescent="0.45">
      <c r="B38" t="s">
        <v>504</v>
      </c>
      <c r="C38">
        <v>20</v>
      </c>
      <c r="D38" t="s">
        <v>462</v>
      </c>
    </row>
    <row r="43" spans="2:6" ht="20.75" customHeight="1" x14ac:dyDescent="0.45">
      <c r="C43" s="13"/>
      <c r="D43" s="13"/>
      <c r="E43" s="13"/>
      <c r="F43" s="14"/>
    </row>
    <row r="44" spans="2:6" ht="20.75" customHeight="1" x14ac:dyDescent="0.45">
      <c r="C44" s="15"/>
      <c r="D44" s="16"/>
      <c r="E44" s="16"/>
      <c r="F44" s="16"/>
    </row>
    <row r="45" spans="2:6" ht="20.75" customHeight="1" x14ac:dyDescent="0.45">
      <c r="C45" s="15"/>
      <c r="D45" s="16"/>
      <c r="E45" s="16"/>
      <c r="F45" s="16"/>
    </row>
    <row r="46" spans="2:6" ht="20.75" customHeight="1" x14ac:dyDescent="0.45">
      <c r="C46" s="15"/>
      <c r="D46" s="16"/>
      <c r="E46" s="16"/>
      <c r="F46" s="16"/>
    </row>
    <row r="47" spans="2:6" ht="20.75" customHeight="1" x14ac:dyDescent="0.45">
      <c r="C47" s="15"/>
      <c r="D47" s="16"/>
      <c r="E47" s="16"/>
      <c r="F47" s="16"/>
    </row>
    <row r="48" spans="2:6" ht="20.75" customHeight="1" x14ac:dyDescent="0.45">
      <c r="C48" s="15"/>
      <c r="D48" s="16"/>
      <c r="E48" s="16"/>
      <c r="F48" s="16"/>
    </row>
    <row r="49" spans="3:6" ht="20.75" customHeight="1" x14ac:dyDescent="0.45">
      <c r="C49" s="15"/>
      <c r="D49" s="16"/>
      <c r="E49" s="16"/>
      <c r="F49" s="16"/>
    </row>
    <row r="50" spans="3:6" ht="20.75" customHeight="1" x14ac:dyDescent="0.45">
      <c r="C50" s="15"/>
      <c r="D50" s="16"/>
      <c r="E50" s="16"/>
      <c r="F50" s="16"/>
    </row>
    <row r="51" spans="3:6" ht="20.75" customHeight="1" x14ac:dyDescent="0.45">
      <c r="C51" s="15"/>
      <c r="D51" s="16"/>
      <c r="E51" s="16"/>
      <c r="F51" s="16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Ammunition</vt:lpstr>
      <vt:lpstr>Nature</vt:lpstr>
      <vt:lpstr>Manufacturer</vt:lpstr>
      <vt:lpstr>Sheet3</vt:lpstr>
      <vt:lpstr>vv</vt:lpstr>
      <vt:lpstr>ESH</vt:lpstr>
      <vt:lpstr>Condition Code</vt:lpstr>
      <vt:lpstr>HCC</vt:lpstr>
      <vt:lpstr>HCC2</vt:lpstr>
      <vt:lpstr>Manu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</dc:creator>
  <cp:lastModifiedBy>edmond</cp:lastModifiedBy>
  <dcterms:created xsi:type="dcterms:W3CDTF">2023-02-24T16:14:52Z</dcterms:created>
  <dcterms:modified xsi:type="dcterms:W3CDTF">2023-02-25T20:55:13Z</dcterms:modified>
</cp:coreProperties>
</file>